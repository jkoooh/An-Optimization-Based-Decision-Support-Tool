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6793ca4dc9d38df/Master/MasterGIT/Data/"/>
    </mc:Choice>
  </mc:AlternateContent>
  <xr:revisionPtr revIDLastSave="310" documentId="8_{5697DC8C-9D7C-49C5-A05F-EA7283F863E5}" xr6:coauthVersionLast="47" xr6:coauthVersionMax="47" xr10:uidLastSave="{69CAB8B9-5417-485F-9E58-4AD72844B65D}"/>
  <bookViews>
    <workbookView xWindow="-110" yWindow="-110" windowWidth="19420" windowHeight="10300" activeTab="5" xr2:uid="{FAB01BD8-8092-4382-B6A0-EB1996903308}"/>
  </bookViews>
  <sheets>
    <sheet name="cmds" sheetId="1" r:id="rId1"/>
    <sheet name="cmdList" sheetId="5" r:id="rId2"/>
    <sheet name="Sheet2" sheetId="2" r:id="rId3"/>
    <sheet name="Sheet3" sheetId="3" r:id="rId4"/>
    <sheet name="Matrix" sheetId="4" r:id="rId5"/>
    <sheet name="Sheet1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6" l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1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1" i="6"/>
  <c r="B2" i="4"/>
  <c r="B8" i="4"/>
  <c r="C8" i="4"/>
  <c r="D8" i="4"/>
  <c r="E8" i="4"/>
  <c r="F8" i="4"/>
  <c r="G8" i="4"/>
  <c r="H8" i="4"/>
  <c r="B3" i="4"/>
  <c r="C3" i="4"/>
  <c r="D3" i="4"/>
  <c r="E3" i="4"/>
  <c r="F3" i="4"/>
  <c r="G3" i="4"/>
  <c r="H3" i="4"/>
  <c r="B4" i="4"/>
  <c r="C4" i="4"/>
  <c r="D4" i="4"/>
  <c r="E4" i="4"/>
  <c r="F4" i="4"/>
  <c r="G4" i="4"/>
  <c r="H4" i="4"/>
  <c r="B5" i="4"/>
  <c r="C5" i="4"/>
  <c r="D5" i="4"/>
  <c r="E5" i="4"/>
  <c r="F5" i="4"/>
  <c r="G5" i="4"/>
  <c r="H5" i="4"/>
  <c r="D6" i="4"/>
  <c r="E6" i="4"/>
  <c r="F6" i="4"/>
  <c r="H6" i="4"/>
  <c r="B7" i="4"/>
  <c r="C7" i="4"/>
  <c r="D7" i="4"/>
  <c r="E7" i="4"/>
  <c r="F7" i="4"/>
  <c r="G7" i="4"/>
  <c r="H7" i="4"/>
  <c r="C2" i="4"/>
  <c r="D2" i="4"/>
  <c r="E2" i="4"/>
  <c r="F2" i="4"/>
  <c r="G2" i="4"/>
  <c r="H2" i="4"/>
</calcChain>
</file>

<file path=xl/sharedStrings.xml><?xml version="1.0" encoding="utf-8"?>
<sst xmlns="http://schemas.openxmlformats.org/spreadsheetml/2006/main" count="195" uniqueCount="17">
  <si>
    <t>Agri-bulk products</t>
  </si>
  <si>
    <t>Oils and refined fuels</t>
  </si>
  <si>
    <t>Industrial raw materials</t>
  </si>
  <si>
    <t>Mining and energy raw materials</t>
  </si>
  <si>
    <t>Chemicals &amp; fertilizers</t>
  </si>
  <si>
    <t>Crude oils &amp; coal products</t>
  </si>
  <si>
    <t>Intermediate industrial goods</t>
  </si>
  <si>
    <t>Grain</t>
  </si>
  <si>
    <t xml:space="preserve">Water White
Standard </t>
  </si>
  <si>
    <t>Maximum number of cleaning days</t>
  </si>
  <si>
    <t>Cleaning effort</t>
  </si>
  <si>
    <t xml:space="preserve">Sensitivity </t>
  </si>
  <si>
    <t>HS4</t>
  </si>
  <si>
    <t>Segment</t>
  </si>
  <si>
    <t>Bulk</t>
  </si>
  <si>
    <t>Tanker</t>
  </si>
  <si>
    <t>Ballast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</si>
</sst>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9725280"/>
        <c:axId val="204972576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Sheet1!$B:$B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3000</c:v>
                      </c:pt>
                      <c:pt idx="4">
                        <c:v>4000</c:v>
                      </c:pt>
                      <c:pt idx="5">
                        <c:v>5000</c:v>
                      </c:pt>
                      <c:pt idx="6">
                        <c:v>6000</c:v>
                      </c:pt>
                      <c:pt idx="7">
                        <c:v>7000</c:v>
                      </c:pt>
                      <c:pt idx="8">
                        <c:v>8000</c:v>
                      </c:pt>
                      <c:pt idx="9">
                        <c:v>9000</c:v>
                      </c:pt>
                      <c:pt idx="10">
                        <c:v>10000</c:v>
                      </c:pt>
                      <c:pt idx="11">
                        <c:v>11000</c:v>
                      </c:pt>
                      <c:pt idx="12">
                        <c:v>12000</c:v>
                      </c:pt>
                      <c:pt idx="13">
                        <c:v>13000</c:v>
                      </c:pt>
                      <c:pt idx="14">
                        <c:v>14000</c:v>
                      </c:pt>
                      <c:pt idx="15">
                        <c:v>15000</c:v>
                      </c:pt>
                      <c:pt idx="16">
                        <c:v>16000</c:v>
                      </c:pt>
                      <c:pt idx="17">
                        <c:v>17000</c:v>
                      </c:pt>
                      <c:pt idx="18">
                        <c:v>18000</c:v>
                      </c:pt>
                      <c:pt idx="19">
                        <c:v>19000</c:v>
                      </c:pt>
                      <c:pt idx="20">
                        <c:v>20000</c:v>
                      </c:pt>
                      <c:pt idx="21">
                        <c:v>21000</c:v>
                      </c:pt>
                      <c:pt idx="22">
                        <c:v>22000</c:v>
                      </c:pt>
                      <c:pt idx="23">
                        <c:v>23000</c:v>
                      </c:pt>
                      <c:pt idx="24">
                        <c:v>24000</c:v>
                      </c:pt>
                      <c:pt idx="25">
                        <c:v>25000</c:v>
                      </c:pt>
                      <c:pt idx="26">
                        <c:v>26000</c:v>
                      </c:pt>
                      <c:pt idx="27">
                        <c:v>27000</c:v>
                      </c:pt>
                      <c:pt idx="28">
                        <c:v>28000</c:v>
                      </c:pt>
                      <c:pt idx="29">
                        <c:v>29000</c:v>
                      </c:pt>
                      <c:pt idx="30">
                        <c:v>30000</c:v>
                      </c:pt>
                      <c:pt idx="31">
                        <c:v>31000</c:v>
                      </c:pt>
                      <c:pt idx="32">
                        <c:v>32000</c:v>
                      </c:pt>
                      <c:pt idx="33">
                        <c:v>33000</c:v>
                      </c:pt>
                      <c:pt idx="34">
                        <c:v>34000</c:v>
                      </c:pt>
                      <c:pt idx="35">
                        <c:v>35000</c:v>
                      </c:pt>
                      <c:pt idx="36">
                        <c:v>36000</c:v>
                      </c:pt>
                      <c:pt idx="37">
                        <c:v>37000</c:v>
                      </c:pt>
                      <c:pt idx="38">
                        <c:v>38000</c:v>
                      </c:pt>
                      <c:pt idx="39">
                        <c:v>39000</c:v>
                      </c:pt>
                      <c:pt idx="40">
                        <c:v>40000</c:v>
                      </c:pt>
                      <c:pt idx="41">
                        <c:v>41000</c:v>
                      </c:pt>
                      <c:pt idx="42">
                        <c:v>42000</c:v>
                      </c:pt>
                      <c:pt idx="43">
                        <c:v>43000</c:v>
                      </c:pt>
                      <c:pt idx="44">
                        <c:v>44000</c:v>
                      </c:pt>
                      <c:pt idx="45">
                        <c:v>45000</c:v>
                      </c:pt>
                      <c:pt idx="46">
                        <c:v>46000</c:v>
                      </c:pt>
                      <c:pt idx="47">
                        <c:v>47000</c:v>
                      </c:pt>
                      <c:pt idx="48">
                        <c:v>48000</c:v>
                      </c:pt>
                      <c:pt idx="49">
                        <c:v>49000</c:v>
                      </c:pt>
                      <c:pt idx="50">
                        <c:v>50000</c:v>
                      </c:pt>
                      <c:pt idx="51">
                        <c:v>51000</c:v>
                      </c:pt>
                      <c:pt idx="52">
                        <c:v>52000</c:v>
                      </c:pt>
                      <c:pt idx="53">
                        <c:v>53000</c:v>
                      </c:pt>
                      <c:pt idx="54">
                        <c:v>54000</c:v>
                      </c:pt>
                      <c:pt idx="55">
                        <c:v>55000</c:v>
                      </c:pt>
                      <c:pt idx="56">
                        <c:v>56000</c:v>
                      </c:pt>
                      <c:pt idx="57">
                        <c:v>57000</c:v>
                      </c:pt>
                      <c:pt idx="58">
                        <c:v>58000</c:v>
                      </c:pt>
                      <c:pt idx="59">
                        <c:v>59000</c:v>
                      </c:pt>
                      <c:pt idx="60">
                        <c:v>60000</c:v>
                      </c:pt>
                      <c:pt idx="61">
                        <c:v>61000</c:v>
                      </c:pt>
                      <c:pt idx="62">
                        <c:v>62000</c:v>
                      </c:pt>
                      <c:pt idx="63">
                        <c:v>63000</c:v>
                      </c:pt>
                      <c:pt idx="64">
                        <c:v>64000</c:v>
                      </c:pt>
                      <c:pt idx="65">
                        <c:v>65000</c:v>
                      </c:pt>
                      <c:pt idx="66">
                        <c:v>66000</c:v>
                      </c:pt>
                      <c:pt idx="67">
                        <c:v>67000</c:v>
                      </c:pt>
                      <c:pt idx="68">
                        <c:v>68000</c:v>
                      </c:pt>
                      <c:pt idx="69">
                        <c:v>69000</c:v>
                      </c:pt>
                      <c:pt idx="70">
                        <c:v>70000</c:v>
                      </c:pt>
                      <c:pt idx="71">
                        <c:v>71000</c:v>
                      </c:pt>
                      <c:pt idx="72">
                        <c:v>72000</c:v>
                      </c:pt>
                      <c:pt idx="73">
                        <c:v>73000</c:v>
                      </c:pt>
                      <c:pt idx="74">
                        <c:v>74000</c:v>
                      </c:pt>
                      <c:pt idx="75">
                        <c:v>75000</c:v>
                      </c:pt>
                      <c:pt idx="76">
                        <c:v>76000</c:v>
                      </c:pt>
                      <c:pt idx="77">
                        <c:v>77000</c:v>
                      </c:pt>
                      <c:pt idx="78">
                        <c:v>78000</c:v>
                      </c:pt>
                      <c:pt idx="79">
                        <c:v>79000</c:v>
                      </c:pt>
                      <c:pt idx="80">
                        <c:v>80000</c:v>
                      </c:pt>
                      <c:pt idx="81">
                        <c:v>81000</c:v>
                      </c:pt>
                      <c:pt idx="82">
                        <c:v>82000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Sheet1!$B$1:$B$83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3000</c:v>
                      </c:pt>
                      <c:pt idx="4">
                        <c:v>4000</c:v>
                      </c:pt>
                      <c:pt idx="5">
                        <c:v>5000</c:v>
                      </c:pt>
                      <c:pt idx="6">
                        <c:v>6000</c:v>
                      </c:pt>
                      <c:pt idx="7">
                        <c:v>7000</c:v>
                      </c:pt>
                      <c:pt idx="8">
                        <c:v>8000</c:v>
                      </c:pt>
                      <c:pt idx="9">
                        <c:v>9000</c:v>
                      </c:pt>
                      <c:pt idx="10">
                        <c:v>10000</c:v>
                      </c:pt>
                      <c:pt idx="11">
                        <c:v>11000</c:v>
                      </c:pt>
                      <c:pt idx="12">
                        <c:v>12000</c:v>
                      </c:pt>
                      <c:pt idx="13">
                        <c:v>13000</c:v>
                      </c:pt>
                      <c:pt idx="14">
                        <c:v>14000</c:v>
                      </c:pt>
                      <c:pt idx="15">
                        <c:v>15000</c:v>
                      </c:pt>
                      <c:pt idx="16">
                        <c:v>16000</c:v>
                      </c:pt>
                      <c:pt idx="17">
                        <c:v>17000</c:v>
                      </c:pt>
                      <c:pt idx="18">
                        <c:v>18000</c:v>
                      </c:pt>
                      <c:pt idx="19">
                        <c:v>19000</c:v>
                      </c:pt>
                      <c:pt idx="20">
                        <c:v>20000</c:v>
                      </c:pt>
                      <c:pt idx="21">
                        <c:v>21000</c:v>
                      </c:pt>
                      <c:pt idx="22">
                        <c:v>22000</c:v>
                      </c:pt>
                      <c:pt idx="23">
                        <c:v>23000</c:v>
                      </c:pt>
                      <c:pt idx="24">
                        <c:v>24000</c:v>
                      </c:pt>
                      <c:pt idx="25">
                        <c:v>25000</c:v>
                      </c:pt>
                      <c:pt idx="26">
                        <c:v>26000</c:v>
                      </c:pt>
                      <c:pt idx="27">
                        <c:v>27000</c:v>
                      </c:pt>
                      <c:pt idx="28">
                        <c:v>28000</c:v>
                      </c:pt>
                      <c:pt idx="29">
                        <c:v>29000</c:v>
                      </c:pt>
                      <c:pt idx="30">
                        <c:v>30000</c:v>
                      </c:pt>
                      <c:pt idx="31">
                        <c:v>31000</c:v>
                      </c:pt>
                      <c:pt idx="32">
                        <c:v>32000</c:v>
                      </c:pt>
                      <c:pt idx="33">
                        <c:v>33000</c:v>
                      </c:pt>
                      <c:pt idx="34">
                        <c:v>34000</c:v>
                      </c:pt>
                      <c:pt idx="35">
                        <c:v>35000</c:v>
                      </c:pt>
                      <c:pt idx="36">
                        <c:v>36000</c:v>
                      </c:pt>
                      <c:pt idx="37">
                        <c:v>37000</c:v>
                      </c:pt>
                      <c:pt idx="38">
                        <c:v>38000</c:v>
                      </c:pt>
                      <c:pt idx="39">
                        <c:v>39000</c:v>
                      </c:pt>
                      <c:pt idx="40">
                        <c:v>40000</c:v>
                      </c:pt>
                      <c:pt idx="41">
                        <c:v>41000</c:v>
                      </c:pt>
                      <c:pt idx="42">
                        <c:v>42000</c:v>
                      </c:pt>
                      <c:pt idx="43">
                        <c:v>43000</c:v>
                      </c:pt>
                      <c:pt idx="44">
                        <c:v>44000</c:v>
                      </c:pt>
                      <c:pt idx="45">
                        <c:v>45000</c:v>
                      </c:pt>
                      <c:pt idx="46">
                        <c:v>46000</c:v>
                      </c:pt>
                      <c:pt idx="47">
                        <c:v>47000</c:v>
                      </c:pt>
                      <c:pt idx="48">
                        <c:v>48000</c:v>
                      </c:pt>
                      <c:pt idx="49">
                        <c:v>49000</c:v>
                      </c:pt>
                      <c:pt idx="50">
                        <c:v>50000</c:v>
                      </c:pt>
                      <c:pt idx="51">
                        <c:v>51000</c:v>
                      </c:pt>
                      <c:pt idx="52">
                        <c:v>52000</c:v>
                      </c:pt>
                      <c:pt idx="53">
                        <c:v>53000</c:v>
                      </c:pt>
                      <c:pt idx="54">
                        <c:v>54000</c:v>
                      </c:pt>
                      <c:pt idx="55">
                        <c:v>55000</c:v>
                      </c:pt>
                      <c:pt idx="56">
                        <c:v>56000</c:v>
                      </c:pt>
                      <c:pt idx="57">
                        <c:v>57000</c:v>
                      </c:pt>
                      <c:pt idx="58">
                        <c:v>58000</c:v>
                      </c:pt>
                      <c:pt idx="59">
                        <c:v>59000</c:v>
                      </c:pt>
                      <c:pt idx="60">
                        <c:v>60000</c:v>
                      </c:pt>
                      <c:pt idx="61">
                        <c:v>61000</c:v>
                      </c:pt>
                      <c:pt idx="62">
                        <c:v>62000</c:v>
                      </c:pt>
                      <c:pt idx="63">
                        <c:v>63000</c:v>
                      </c:pt>
                      <c:pt idx="64">
                        <c:v>64000</c:v>
                      </c:pt>
                      <c:pt idx="65">
                        <c:v>65000</c:v>
                      </c:pt>
                      <c:pt idx="66">
                        <c:v>66000</c:v>
                      </c:pt>
                      <c:pt idx="67">
                        <c:v>67000</c:v>
                      </c:pt>
                      <c:pt idx="68">
                        <c:v>68000</c:v>
                      </c:pt>
                      <c:pt idx="69">
                        <c:v>69000</c:v>
                      </c:pt>
                      <c:pt idx="70">
                        <c:v>70000</c:v>
                      </c:pt>
                      <c:pt idx="71">
                        <c:v>71000</c:v>
                      </c:pt>
                      <c:pt idx="72">
                        <c:v>72000</c:v>
                      </c:pt>
                      <c:pt idx="73">
                        <c:v>73000</c:v>
                      </c:pt>
                      <c:pt idx="74">
                        <c:v>74000</c:v>
                      </c:pt>
                      <c:pt idx="75">
                        <c:v>75000</c:v>
                      </c:pt>
                      <c:pt idx="76">
                        <c:v>76000</c:v>
                      </c:pt>
                      <c:pt idx="77">
                        <c:v>77000</c:v>
                      </c:pt>
                      <c:pt idx="78">
                        <c:v>78000</c:v>
                      </c:pt>
                      <c:pt idx="79">
                        <c:v>79000</c:v>
                      </c:pt>
                      <c:pt idx="80">
                        <c:v>80000</c:v>
                      </c:pt>
                      <c:pt idx="81">
                        <c:v>81000</c:v>
                      </c:pt>
                      <c:pt idx="82">
                        <c:v>82000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388-4C6F-A90C-902F13448BF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Fuel consumption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Sheet1!$B:$B</c:f>
              <c:numCache>
                <c:formatCode>General</c:formatCode>
                <c:ptCount val="104857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  <c:pt idx="36">
                  <c:v>36000</c:v>
                </c:pt>
                <c:pt idx="37">
                  <c:v>37000</c:v>
                </c:pt>
                <c:pt idx="38">
                  <c:v>38000</c:v>
                </c:pt>
                <c:pt idx="39">
                  <c:v>39000</c:v>
                </c:pt>
                <c:pt idx="40">
                  <c:v>40000</c:v>
                </c:pt>
                <c:pt idx="41">
                  <c:v>41000</c:v>
                </c:pt>
                <c:pt idx="42">
                  <c:v>42000</c:v>
                </c:pt>
                <c:pt idx="43">
                  <c:v>43000</c:v>
                </c:pt>
                <c:pt idx="44">
                  <c:v>44000</c:v>
                </c:pt>
                <c:pt idx="45">
                  <c:v>45000</c:v>
                </c:pt>
                <c:pt idx="46">
                  <c:v>46000</c:v>
                </c:pt>
                <c:pt idx="47">
                  <c:v>47000</c:v>
                </c:pt>
                <c:pt idx="48">
                  <c:v>48000</c:v>
                </c:pt>
                <c:pt idx="49">
                  <c:v>49000</c:v>
                </c:pt>
                <c:pt idx="50">
                  <c:v>50000</c:v>
                </c:pt>
                <c:pt idx="51">
                  <c:v>51000</c:v>
                </c:pt>
                <c:pt idx="52">
                  <c:v>52000</c:v>
                </c:pt>
                <c:pt idx="53">
                  <c:v>53000</c:v>
                </c:pt>
                <c:pt idx="54">
                  <c:v>54000</c:v>
                </c:pt>
                <c:pt idx="55">
                  <c:v>55000</c:v>
                </c:pt>
                <c:pt idx="56">
                  <c:v>56000</c:v>
                </c:pt>
                <c:pt idx="57">
                  <c:v>57000</c:v>
                </c:pt>
                <c:pt idx="58">
                  <c:v>58000</c:v>
                </c:pt>
                <c:pt idx="59">
                  <c:v>59000</c:v>
                </c:pt>
                <c:pt idx="60">
                  <c:v>60000</c:v>
                </c:pt>
                <c:pt idx="61">
                  <c:v>61000</c:v>
                </c:pt>
                <c:pt idx="62">
                  <c:v>62000</c:v>
                </c:pt>
                <c:pt idx="63">
                  <c:v>63000</c:v>
                </c:pt>
                <c:pt idx="64">
                  <c:v>64000</c:v>
                </c:pt>
                <c:pt idx="65">
                  <c:v>65000</c:v>
                </c:pt>
                <c:pt idx="66">
                  <c:v>66000</c:v>
                </c:pt>
                <c:pt idx="67">
                  <c:v>67000</c:v>
                </c:pt>
                <c:pt idx="68">
                  <c:v>68000</c:v>
                </c:pt>
                <c:pt idx="69">
                  <c:v>69000</c:v>
                </c:pt>
                <c:pt idx="70">
                  <c:v>70000</c:v>
                </c:pt>
                <c:pt idx="71">
                  <c:v>71000</c:v>
                </c:pt>
                <c:pt idx="72">
                  <c:v>72000</c:v>
                </c:pt>
                <c:pt idx="73">
                  <c:v>73000</c:v>
                </c:pt>
                <c:pt idx="74">
                  <c:v>74000</c:v>
                </c:pt>
                <c:pt idx="75">
                  <c:v>75000</c:v>
                </c:pt>
                <c:pt idx="76">
                  <c:v>76000</c:v>
                </c:pt>
                <c:pt idx="77">
                  <c:v>77000</c:v>
                </c:pt>
                <c:pt idx="78">
                  <c:v>78000</c:v>
                </c:pt>
                <c:pt idx="79">
                  <c:v>79000</c:v>
                </c:pt>
                <c:pt idx="80">
                  <c:v>80000</c:v>
                </c:pt>
                <c:pt idx="81">
                  <c:v>81000</c:v>
                </c:pt>
                <c:pt idx="82">
                  <c:v>82000</c:v>
                </c:pt>
              </c:numCache>
            </c:numRef>
          </c:cat>
          <c:val>
            <c:numRef>
              <c:f>Sheet1!$C:$C</c:f>
              <c:numCache>
                <c:formatCode>General</c:formatCode>
                <c:ptCount val="1048576"/>
                <c:pt idx="0">
                  <c:v>30.1</c:v>
                </c:pt>
                <c:pt idx="1">
                  <c:v>30.143902439024391</c:v>
                </c:pt>
                <c:pt idx="2">
                  <c:v>30.18780487804878</c:v>
                </c:pt>
                <c:pt idx="3">
                  <c:v>30.231707317073173</c:v>
                </c:pt>
                <c:pt idx="4">
                  <c:v>30.275609756097563</c:v>
                </c:pt>
                <c:pt idx="5">
                  <c:v>30.319512195121952</c:v>
                </c:pt>
                <c:pt idx="6">
                  <c:v>30.363414634146341</c:v>
                </c:pt>
                <c:pt idx="7">
                  <c:v>30.407317073170734</c:v>
                </c:pt>
                <c:pt idx="8">
                  <c:v>30.451219512195124</c:v>
                </c:pt>
                <c:pt idx="9">
                  <c:v>30.495121951219513</c:v>
                </c:pt>
                <c:pt idx="10">
                  <c:v>30.539024390243902</c:v>
                </c:pt>
                <c:pt idx="11">
                  <c:v>30.582926829268295</c:v>
                </c:pt>
                <c:pt idx="12">
                  <c:v>30.626829268292685</c:v>
                </c:pt>
                <c:pt idx="13">
                  <c:v>30.670731707317074</c:v>
                </c:pt>
                <c:pt idx="14">
                  <c:v>30.714634146341464</c:v>
                </c:pt>
                <c:pt idx="15">
                  <c:v>30.758536585365857</c:v>
                </c:pt>
                <c:pt idx="16">
                  <c:v>30.802439024390246</c:v>
                </c:pt>
                <c:pt idx="17">
                  <c:v>30.846341463414635</c:v>
                </c:pt>
                <c:pt idx="18">
                  <c:v>30.890243902439025</c:v>
                </c:pt>
                <c:pt idx="19">
                  <c:v>30.934146341463418</c:v>
                </c:pt>
                <c:pt idx="20">
                  <c:v>30.978048780487807</c:v>
                </c:pt>
                <c:pt idx="21">
                  <c:v>31.021951219512196</c:v>
                </c:pt>
                <c:pt idx="22">
                  <c:v>31.065853658536586</c:v>
                </c:pt>
                <c:pt idx="23">
                  <c:v>31.109756097560979</c:v>
                </c:pt>
                <c:pt idx="24">
                  <c:v>31.153658536585368</c:v>
                </c:pt>
                <c:pt idx="25">
                  <c:v>31.197560975609758</c:v>
                </c:pt>
                <c:pt idx="26">
                  <c:v>31.241463414634147</c:v>
                </c:pt>
                <c:pt idx="27">
                  <c:v>31.28536585365854</c:v>
                </c:pt>
                <c:pt idx="28">
                  <c:v>31.329268292682929</c:v>
                </c:pt>
                <c:pt idx="29">
                  <c:v>31.373170731707319</c:v>
                </c:pt>
                <c:pt idx="30">
                  <c:v>31.417073170731708</c:v>
                </c:pt>
                <c:pt idx="31">
                  <c:v>31.460975609756101</c:v>
                </c:pt>
                <c:pt idx="32">
                  <c:v>31.50487804878049</c:v>
                </c:pt>
                <c:pt idx="33">
                  <c:v>31.54878048780488</c:v>
                </c:pt>
                <c:pt idx="34">
                  <c:v>31.592682926829269</c:v>
                </c:pt>
                <c:pt idx="35">
                  <c:v>31.636585365853662</c:v>
                </c:pt>
                <c:pt idx="36">
                  <c:v>31.680487804878052</c:v>
                </c:pt>
                <c:pt idx="37">
                  <c:v>31.724390243902441</c:v>
                </c:pt>
                <c:pt idx="38">
                  <c:v>31.76829268292683</c:v>
                </c:pt>
                <c:pt idx="39">
                  <c:v>31.81219512195122</c:v>
                </c:pt>
                <c:pt idx="40">
                  <c:v>31.856097560975613</c:v>
                </c:pt>
                <c:pt idx="41">
                  <c:v>31.900000000000002</c:v>
                </c:pt>
                <c:pt idx="42">
                  <c:v>31.943902439024392</c:v>
                </c:pt>
                <c:pt idx="43">
                  <c:v>31.987804878048784</c:v>
                </c:pt>
                <c:pt idx="44">
                  <c:v>32.03170731707317</c:v>
                </c:pt>
                <c:pt idx="45">
                  <c:v>32.075609756097563</c:v>
                </c:pt>
                <c:pt idx="46">
                  <c:v>32.119512195121956</c:v>
                </c:pt>
                <c:pt idx="47">
                  <c:v>32.163414634146342</c:v>
                </c:pt>
                <c:pt idx="48">
                  <c:v>32.207317073170735</c:v>
                </c:pt>
                <c:pt idx="49">
                  <c:v>32.251219512195121</c:v>
                </c:pt>
                <c:pt idx="50">
                  <c:v>32.295121951219514</c:v>
                </c:pt>
                <c:pt idx="51">
                  <c:v>32.339024390243907</c:v>
                </c:pt>
                <c:pt idx="52">
                  <c:v>32.382926829268293</c:v>
                </c:pt>
                <c:pt idx="53">
                  <c:v>32.426829268292686</c:v>
                </c:pt>
                <c:pt idx="54">
                  <c:v>32.470731707317078</c:v>
                </c:pt>
                <c:pt idx="55">
                  <c:v>32.514634146341464</c:v>
                </c:pt>
                <c:pt idx="56">
                  <c:v>32.558536585365857</c:v>
                </c:pt>
                <c:pt idx="57">
                  <c:v>32.602439024390243</c:v>
                </c:pt>
                <c:pt idx="58">
                  <c:v>32.646341463414636</c:v>
                </c:pt>
                <c:pt idx="59">
                  <c:v>32.690243902439029</c:v>
                </c:pt>
                <c:pt idx="60">
                  <c:v>32.734146341463415</c:v>
                </c:pt>
                <c:pt idx="61">
                  <c:v>32.778048780487808</c:v>
                </c:pt>
                <c:pt idx="62">
                  <c:v>32.821951219512201</c:v>
                </c:pt>
                <c:pt idx="63">
                  <c:v>32.865853658536587</c:v>
                </c:pt>
                <c:pt idx="64">
                  <c:v>32.90975609756098</c:v>
                </c:pt>
                <c:pt idx="65">
                  <c:v>32.953658536585365</c:v>
                </c:pt>
                <c:pt idx="66">
                  <c:v>32.997560975609758</c:v>
                </c:pt>
                <c:pt idx="67">
                  <c:v>33.041463414634151</c:v>
                </c:pt>
                <c:pt idx="68">
                  <c:v>33.085365853658537</c:v>
                </c:pt>
                <c:pt idx="69">
                  <c:v>33.12926829268293</c:v>
                </c:pt>
                <c:pt idx="70">
                  <c:v>33.173170731707316</c:v>
                </c:pt>
                <c:pt idx="71">
                  <c:v>33.217073170731709</c:v>
                </c:pt>
                <c:pt idx="72">
                  <c:v>33.260975609756102</c:v>
                </c:pt>
                <c:pt idx="73">
                  <c:v>33.304878048780488</c:v>
                </c:pt>
                <c:pt idx="74">
                  <c:v>33.348780487804881</c:v>
                </c:pt>
                <c:pt idx="75">
                  <c:v>33.392682926829274</c:v>
                </c:pt>
                <c:pt idx="76">
                  <c:v>33.436585365853659</c:v>
                </c:pt>
                <c:pt idx="77">
                  <c:v>33.480487804878052</c:v>
                </c:pt>
                <c:pt idx="78">
                  <c:v>33.524390243902445</c:v>
                </c:pt>
                <c:pt idx="79">
                  <c:v>33.568292682926831</c:v>
                </c:pt>
                <c:pt idx="80">
                  <c:v>33.612195121951224</c:v>
                </c:pt>
                <c:pt idx="81">
                  <c:v>33.65609756097561</c:v>
                </c:pt>
                <c:pt idx="82">
                  <c:v>33.700000000000003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88-4C6F-A90C-902F13448BF0}"/>
            </c:ext>
          </c:extLst>
        </c:ser>
        <c:ser>
          <c:idx val="3"/>
          <c:order val="3"/>
          <c:tx>
            <c:v>Earnings per day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Sheet1!$B:$B</c:f>
              <c:numCache>
                <c:formatCode>General</c:formatCode>
                <c:ptCount val="104857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  <c:pt idx="36">
                  <c:v>36000</c:v>
                </c:pt>
                <c:pt idx="37">
                  <c:v>37000</c:v>
                </c:pt>
                <c:pt idx="38">
                  <c:v>38000</c:v>
                </c:pt>
                <c:pt idx="39">
                  <c:v>39000</c:v>
                </c:pt>
                <c:pt idx="40">
                  <c:v>40000</c:v>
                </c:pt>
                <c:pt idx="41">
                  <c:v>41000</c:v>
                </c:pt>
                <c:pt idx="42">
                  <c:v>42000</c:v>
                </c:pt>
                <c:pt idx="43">
                  <c:v>43000</c:v>
                </c:pt>
                <c:pt idx="44">
                  <c:v>44000</c:v>
                </c:pt>
                <c:pt idx="45">
                  <c:v>45000</c:v>
                </c:pt>
                <c:pt idx="46">
                  <c:v>46000</c:v>
                </c:pt>
                <c:pt idx="47">
                  <c:v>47000</c:v>
                </c:pt>
                <c:pt idx="48">
                  <c:v>48000</c:v>
                </c:pt>
                <c:pt idx="49">
                  <c:v>49000</c:v>
                </c:pt>
                <c:pt idx="50">
                  <c:v>50000</c:v>
                </c:pt>
                <c:pt idx="51">
                  <c:v>51000</c:v>
                </c:pt>
                <c:pt idx="52">
                  <c:v>52000</c:v>
                </c:pt>
                <c:pt idx="53">
                  <c:v>53000</c:v>
                </c:pt>
                <c:pt idx="54">
                  <c:v>54000</c:v>
                </c:pt>
                <c:pt idx="55">
                  <c:v>55000</c:v>
                </c:pt>
                <c:pt idx="56">
                  <c:v>56000</c:v>
                </c:pt>
                <c:pt idx="57">
                  <c:v>57000</c:v>
                </c:pt>
                <c:pt idx="58">
                  <c:v>58000</c:v>
                </c:pt>
                <c:pt idx="59">
                  <c:v>59000</c:v>
                </c:pt>
                <c:pt idx="60">
                  <c:v>60000</c:v>
                </c:pt>
                <c:pt idx="61">
                  <c:v>61000</c:v>
                </c:pt>
                <c:pt idx="62">
                  <c:v>62000</c:v>
                </c:pt>
                <c:pt idx="63">
                  <c:v>63000</c:v>
                </c:pt>
                <c:pt idx="64">
                  <c:v>64000</c:v>
                </c:pt>
                <c:pt idx="65">
                  <c:v>65000</c:v>
                </c:pt>
                <c:pt idx="66">
                  <c:v>66000</c:v>
                </c:pt>
                <c:pt idx="67">
                  <c:v>67000</c:v>
                </c:pt>
                <c:pt idx="68">
                  <c:v>68000</c:v>
                </c:pt>
                <c:pt idx="69">
                  <c:v>69000</c:v>
                </c:pt>
                <c:pt idx="70">
                  <c:v>70000</c:v>
                </c:pt>
                <c:pt idx="71">
                  <c:v>71000</c:v>
                </c:pt>
                <c:pt idx="72">
                  <c:v>72000</c:v>
                </c:pt>
                <c:pt idx="73">
                  <c:v>73000</c:v>
                </c:pt>
                <c:pt idx="74">
                  <c:v>74000</c:v>
                </c:pt>
                <c:pt idx="75">
                  <c:v>75000</c:v>
                </c:pt>
                <c:pt idx="76">
                  <c:v>76000</c:v>
                </c:pt>
                <c:pt idx="77">
                  <c:v>77000</c:v>
                </c:pt>
                <c:pt idx="78">
                  <c:v>78000</c:v>
                </c:pt>
                <c:pt idx="79">
                  <c:v>79000</c:v>
                </c:pt>
                <c:pt idx="80">
                  <c:v>80000</c:v>
                </c:pt>
                <c:pt idx="81">
                  <c:v>81000</c:v>
                </c:pt>
                <c:pt idx="82">
                  <c:v>82000</c:v>
                </c:pt>
              </c:numCache>
            </c:numRef>
          </c:cat>
          <c:val>
            <c:numRef>
              <c:f>Sheet1!$D:$D</c:f>
              <c:numCache>
                <c:formatCode>General</c:formatCode>
                <c:ptCount val="1048576"/>
                <c:pt idx="0">
                  <c:v>0</c:v>
                </c:pt>
                <c:pt idx="1">
                  <c:v>243.90243902439025</c:v>
                </c:pt>
                <c:pt idx="2">
                  <c:v>487.80487804878049</c:v>
                </c:pt>
                <c:pt idx="3">
                  <c:v>731.70731707317077</c:v>
                </c:pt>
                <c:pt idx="4">
                  <c:v>975.60975609756099</c:v>
                </c:pt>
                <c:pt idx="5">
                  <c:v>1219.5121951219512</c:v>
                </c:pt>
                <c:pt idx="6">
                  <c:v>1463.4146341463415</c:v>
                </c:pt>
                <c:pt idx="7">
                  <c:v>1707.3170731707316</c:v>
                </c:pt>
                <c:pt idx="8">
                  <c:v>1951.219512195122</c:v>
                </c:pt>
                <c:pt idx="9">
                  <c:v>2195.1219512195121</c:v>
                </c:pt>
                <c:pt idx="10">
                  <c:v>2439.0243902439024</c:v>
                </c:pt>
                <c:pt idx="11">
                  <c:v>2682.9268292682927</c:v>
                </c:pt>
                <c:pt idx="12">
                  <c:v>2926.8292682926831</c:v>
                </c:pt>
                <c:pt idx="13">
                  <c:v>3170.731707317073</c:v>
                </c:pt>
                <c:pt idx="14">
                  <c:v>3414.6341463414633</c:v>
                </c:pt>
                <c:pt idx="15">
                  <c:v>3658.5365853658536</c:v>
                </c:pt>
                <c:pt idx="16">
                  <c:v>3902.439024390244</c:v>
                </c:pt>
                <c:pt idx="17">
                  <c:v>4146.3414634146338</c:v>
                </c:pt>
                <c:pt idx="18">
                  <c:v>4390.2439024390242</c:v>
                </c:pt>
                <c:pt idx="19">
                  <c:v>4634.1463414634145</c:v>
                </c:pt>
                <c:pt idx="20">
                  <c:v>4878.0487804878048</c:v>
                </c:pt>
                <c:pt idx="21">
                  <c:v>5121.9512195121952</c:v>
                </c:pt>
                <c:pt idx="22">
                  <c:v>5365.8536585365855</c:v>
                </c:pt>
                <c:pt idx="23">
                  <c:v>5609.7560975609758</c:v>
                </c:pt>
                <c:pt idx="24">
                  <c:v>5853.6585365853662</c:v>
                </c:pt>
                <c:pt idx="25">
                  <c:v>6097.5609756097565</c:v>
                </c:pt>
                <c:pt idx="26">
                  <c:v>6341.4634146341459</c:v>
                </c:pt>
                <c:pt idx="27">
                  <c:v>6585.3658536585363</c:v>
                </c:pt>
                <c:pt idx="28">
                  <c:v>6829.2682926829266</c:v>
                </c:pt>
                <c:pt idx="29">
                  <c:v>7073.1707317073169</c:v>
                </c:pt>
                <c:pt idx="30">
                  <c:v>7317.0731707317073</c:v>
                </c:pt>
                <c:pt idx="31">
                  <c:v>7560.9756097560976</c:v>
                </c:pt>
                <c:pt idx="32">
                  <c:v>7804.8780487804879</c:v>
                </c:pt>
                <c:pt idx="33">
                  <c:v>8048.7804878048782</c:v>
                </c:pt>
                <c:pt idx="34">
                  <c:v>8292.6829268292677</c:v>
                </c:pt>
                <c:pt idx="35">
                  <c:v>8536.585365853658</c:v>
                </c:pt>
                <c:pt idx="36">
                  <c:v>8780.4878048780483</c:v>
                </c:pt>
                <c:pt idx="37">
                  <c:v>9024.3902439024387</c:v>
                </c:pt>
                <c:pt idx="38">
                  <c:v>9268.292682926829</c:v>
                </c:pt>
                <c:pt idx="39">
                  <c:v>9512.1951219512193</c:v>
                </c:pt>
                <c:pt idx="40">
                  <c:v>9756.0975609756097</c:v>
                </c:pt>
                <c:pt idx="41">
                  <c:v>10000</c:v>
                </c:pt>
                <c:pt idx="42">
                  <c:v>10243.90243902439</c:v>
                </c:pt>
                <c:pt idx="43">
                  <c:v>10487.804878048781</c:v>
                </c:pt>
                <c:pt idx="44">
                  <c:v>10731.707317073171</c:v>
                </c:pt>
                <c:pt idx="45">
                  <c:v>10975.609756097561</c:v>
                </c:pt>
                <c:pt idx="46">
                  <c:v>11219.512195121952</c:v>
                </c:pt>
                <c:pt idx="47">
                  <c:v>11463.414634146342</c:v>
                </c:pt>
                <c:pt idx="48">
                  <c:v>11707.317073170732</c:v>
                </c:pt>
                <c:pt idx="49">
                  <c:v>11951.219512195123</c:v>
                </c:pt>
                <c:pt idx="50">
                  <c:v>12195.121951219513</c:v>
                </c:pt>
                <c:pt idx="51">
                  <c:v>12439.024390243903</c:v>
                </c:pt>
                <c:pt idx="52">
                  <c:v>12682.926829268292</c:v>
                </c:pt>
                <c:pt idx="53">
                  <c:v>12926.829268292682</c:v>
                </c:pt>
                <c:pt idx="54">
                  <c:v>13170.731707317073</c:v>
                </c:pt>
                <c:pt idx="55">
                  <c:v>13414.634146341463</c:v>
                </c:pt>
                <c:pt idx="56">
                  <c:v>13658.536585365853</c:v>
                </c:pt>
                <c:pt idx="57">
                  <c:v>13902.439024390244</c:v>
                </c:pt>
                <c:pt idx="58">
                  <c:v>14146.341463414634</c:v>
                </c:pt>
                <c:pt idx="59">
                  <c:v>14390.243902439024</c:v>
                </c:pt>
                <c:pt idx="60">
                  <c:v>14634.146341463415</c:v>
                </c:pt>
                <c:pt idx="61">
                  <c:v>14878.048780487805</c:v>
                </c:pt>
                <c:pt idx="62">
                  <c:v>15121.951219512195</c:v>
                </c:pt>
                <c:pt idx="63">
                  <c:v>15365.853658536585</c:v>
                </c:pt>
                <c:pt idx="64">
                  <c:v>15609.756097560976</c:v>
                </c:pt>
                <c:pt idx="65">
                  <c:v>15853.658536585366</c:v>
                </c:pt>
                <c:pt idx="66">
                  <c:v>16097.560975609756</c:v>
                </c:pt>
                <c:pt idx="67">
                  <c:v>16341.463414634147</c:v>
                </c:pt>
                <c:pt idx="68">
                  <c:v>16585.365853658535</c:v>
                </c:pt>
                <c:pt idx="69">
                  <c:v>16829.268292682926</c:v>
                </c:pt>
                <c:pt idx="70">
                  <c:v>17073.170731707316</c:v>
                </c:pt>
                <c:pt idx="71">
                  <c:v>17317.073170731706</c:v>
                </c:pt>
                <c:pt idx="72">
                  <c:v>17560.975609756097</c:v>
                </c:pt>
                <c:pt idx="73">
                  <c:v>17804.878048780487</c:v>
                </c:pt>
                <c:pt idx="74">
                  <c:v>18048.780487804877</c:v>
                </c:pt>
                <c:pt idx="75">
                  <c:v>18292.682926829268</c:v>
                </c:pt>
                <c:pt idx="76">
                  <c:v>18536.585365853658</c:v>
                </c:pt>
                <c:pt idx="77">
                  <c:v>18780.487804878048</c:v>
                </c:pt>
                <c:pt idx="78">
                  <c:v>19024.390243902439</c:v>
                </c:pt>
                <c:pt idx="79">
                  <c:v>19268.292682926829</c:v>
                </c:pt>
                <c:pt idx="80">
                  <c:v>19512.195121951219</c:v>
                </c:pt>
                <c:pt idx="81">
                  <c:v>19756.09756097561</c:v>
                </c:pt>
                <c:pt idx="82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88-4C6F-A90C-902F13448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9725280"/>
        <c:axId val="20497257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Sheet1!$B:$B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1000</c:v>
                      </c:pt>
                      <c:pt idx="2">
                        <c:v>2000</c:v>
                      </c:pt>
                      <c:pt idx="3">
                        <c:v>3000</c:v>
                      </c:pt>
                      <c:pt idx="4">
                        <c:v>4000</c:v>
                      </c:pt>
                      <c:pt idx="5">
                        <c:v>5000</c:v>
                      </c:pt>
                      <c:pt idx="6">
                        <c:v>6000</c:v>
                      </c:pt>
                      <c:pt idx="7">
                        <c:v>7000</c:v>
                      </c:pt>
                      <c:pt idx="8">
                        <c:v>8000</c:v>
                      </c:pt>
                      <c:pt idx="9">
                        <c:v>9000</c:v>
                      </c:pt>
                      <c:pt idx="10">
                        <c:v>10000</c:v>
                      </c:pt>
                      <c:pt idx="11">
                        <c:v>11000</c:v>
                      </c:pt>
                      <c:pt idx="12">
                        <c:v>12000</c:v>
                      </c:pt>
                      <c:pt idx="13">
                        <c:v>13000</c:v>
                      </c:pt>
                      <c:pt idx="14">
                        <c:v>14000</c:v>
                      </c:pt>
                      <c:pt idx="15">
                        <c:v>15000</c:v>
                      </c:pt>
                      <c:pt idx="16">
                        <c:v>16000</c:v>
                      </c:pt>
                      <c:pt idx="17">
                        <c:v>17000</c:v>
                      </c:pt>
                      <c:pt idx="18">
                        <c:v>18000</c:v>
                      </c:pt>
                      <c:pt idx="19">
                        <c:v>19000</c:v>
                      </c:pt>
                      <c:pt idx="20">
                        <c:v>20000</c:v>
                      </c:pt>
                      <c:pt idx="21">
                        <c:v>21000</c:v>
                      </c:pt>
                      <c:pt idx="22">
                        <c:v>22000</c:v>
                      </c:pt>
                      <c:pt idx="23">
                        <c:v>23000</c:v>
                      </c:pt>
                      <c:pt idx="24">
                        <c:v>24000</c:v>
                      </c:pt>
                      <c:pt idx="25">
                        <c:v>25000</c:v>
                      </c:pt>
                      <c:pt idx="26">
                        <c:v>26000</c:v>
                      </c:pt>
                      <c:pt idx="27">
                        <c:v>27000</c:v>
                      </c:pt>
                      <c:pt idx="28">
                        <c:v>28000</c:v>
                      </c:pt>
                      <c:pt idx="29">
                        <c:v>29000</c:v>
                      </c:pt>
                      <c:pt idx="30">
                        <c:v>30000</c:v>
                      </c:pt>
                      <c:pt idx="31">
                        <c:v>31000</c:v>
                      </c:pt>
                      <c:pt idx="32">
                        <c:v>32000</c:v>
                      </c:pt>
                      <c:pt idx="33">
                        <c:v>33000</c:v>
                      </c:pt>
                      <c:pt idx="34">
                        <c:v>34000</c:v>
                      </c:pt>
                      <c:pt idx="35">
                        <c:v>35000</c:v>
                      </c:pt>
                      <c:pt idx="36">
                        <c:v>36000</c:v>
                      </c:pt>
                      <c:pt idx="37">
                        <c:v>37000</c:v>
                      </c:pt>
                      <c:pt idx="38">
                        <c:v>38000</c:v>
                      </c:pt>
                      <c:pt idx="39">
                        <c:v>39000</c:v>
                      </c:pt>
                      <c:pt idx="40">
                        <c:v>40000</c:v>
                      </c:pt>
                      <c:pt idx="41">
                        <c:v>41000</c:v>
                      </c:pt>
                      <c:pt idx="42">
                        <c:v>42000</c:v>
                      </c:pt>
                      <c:pt idx="43">
                        <c:v>43000</c:v>
                      </c:pt>
                      <c:pt idx="44">
                        <c:v>44000</c:v>
                      </c:pt>
                      <c:pt idx="45">
                        <c:v>45000</c:v>
                      </c:pt>
                      <c:pt idx="46">
                        <c:v>46000</c:v>
                      </c:pt>
                      <c:pt idx="47">
                        <c:v>47000</c:v>
                      </c:pt>
                      <c:pt idx="48">
                        <c:v>48000</c:v>
                      </c:pt>
                      <c:pt idx="49">
                        <c:v>49000</c:v>
                      </c:pt>
                      <c:pt idx="50">
                        <c:v>50000</c:v>
                      </c:pt>
                      <c:pt idx="51">
                        <c:v>51000</c:v>
                      </c:pt>
                      <c:pt idx="52">
                        <c:v>52000</c:v>
                      </c:pt>
                      <c:pt idx="53">
                        <c:v>53000</c:v>
                      </c:pt>
                      <c:pt idx="54">
                        <c:v>54000</c:v>
                      </c:pt>
                      <c:pt idx="55">
                        <c:v>55000</c:v>
                      </c:pt>
                      <c:pt idx="56">
                        <c:v>56000</c:v>
                      </c:pt>
                      <c:pt idx="57">
                        <c:v>57000</c:v>
                      </c:pt>
                      <c:pt idx="58">
                        <c:v>58000</c:v>
                      </c:pt>
                      <c:pt idx="59">
                        <c:v>59000</c:v>
                      </c:pt>
                      <c:pt idx="60">
                        <c:v>60000</c:v>
                      </c:pt>
                      <c:pt idx="61">
                        <c:v>61000</c:v>
                      </c:pt>
                      <c:pt idx="62">
                        <c:v>62000</c:v>
                      </c:pt>
                      <c:pt idx="63">
                        <c:v>63000</c:v>
                      </c:pt>
                      <c:pt idx="64">
                        <c:v>64000</c:v>
                      </c:pt>
                      <c:pt idx="65">
                        <c:v>65000</c:v>
                      </c:pt>
                      <c:pt idx="66">
                        <c:v>66000</c:v>
                      </c:pt>
                      <c:pt idx="67">
                        <c:v>67000</c:v>
                      </c:pt>
                      <c:pt idx="68">
                        <c:v>68000</c:v>
                      </c:pt>
                      <c:pt idx="69">
                        <c:v>69000</c:v>
                      </c:pt>
                      <c:pt idx="70">
                        <c:v>70000</c:v>
                      </c:pt>
                      <c:pt idx="71">
                        <c:v>71000</c:v>
                      </c:pt>
                      <c:pt idx="72">
                        <c:v>72000</c:v>
                      </c:pt>
                      <c:pt idx="73">
                        <c:v>73000</c:v>
                      </c:pt>
                      <c:pt idx="74">
                        <c:v>74000</c:v>
                      </c:pt>
                      <c:pt idx="75">
                        <c:v>75000</c:v>
                      </c:pt>
                      <c:pt idx="76">
                        <c:v>76000</c:v>
                      </c:pt>
                      <c:pt idx="77">
                        <c:v>77000</c:v>
                      </c:pt>
                      <c:pt idx="78">
                        <c:v>78000</c:v>
                      </c:pt>
                      <c:pt idx="79">
                        <c:v>79000</c:v>
                      </c:pt>
                      <c:pt idx="80">
                        <c:v>80000</c:v>
                      </c:pt>
                      <c:pt idx="81">
                        <c:v>81000</c:v>
                      </c:pt>
                      <c:pt idx="82">
                        <c:v>82000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Sheet1!$C$1:$C$83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30.1</c:v>
                      </c:pt>
                      <c:pt idx="1">
                        <c:v>30.143902439024391</c:v>
                      </c:pt>
                      <c:pt idx="2">
                        <c:v>30.18780487804878</c:v>
                      </c:pt>
                      <c:pt idx="3">
                        <c:v>30.231707317073173</c:v>
                      </c:pt>
                      <c:pt idx="4">
                        <c:v>30.275609756097563</c:v>
                      </c:pt>
                      <c:pt idx="5">
                        <c:v>30.319512195121952</c:v>
                      </c:pt>
                      <c:pt idx="6">
                        <c:v>30.363414634146341</c:v>
                      </c:pt>
                      <c:pt idx="7">
                        <c:v>30.407317073170734</c:v>
                      </c:pt>
                      <c:pt idx="8">
                        <c:v>30.451219512195124</c:v>
                      </c:pt>
                      <c:pt idx="9">
                        <c:v>30.495121951219513</c:v>
                      </c:pt>
                      <c:pt idx="10">
                        <c:v>30.539024390243902</c:v>
                      </c:pt>
                      <c:pt idx="11">
                        <c:v>30.582926829268295</c:v>
                      </c:pt>
                      <c:pt idx="12">
                        <c:v>30.626829268292685</c:v>
                      </c:pt>
                      <c:pt idx="13">
                        <c:v>30.670731707317074</c:v>
                      </c:pt>
                      <c:pt idx="14">
                        <c:v>30.714634146341464</c:v>
                      </c:pt>
                      <c:pt idx="15">
                        <c:v>30.758536585365857</c:v>
                      </c:pt>
                      <c:pt idx="16">
                        <c:v>30.802439024390246</c:v>
                      </c:pt>
                      <c:pt idx="17">
                        <c:v>30.846341463414635</c:v>
                      </c:pt>
                      <c:pt idx="18">
                        <c:v>30.890243902439025</c:v>
                      </c:pt>
                      <c:pt idx="19">
                        <c:v>30.934146341463418</c:v>
                      </c:pt>
                      <c:pt idx="20">
                        <c:v>30.978048780487807</c:v>
                      </c:pt>
                      <c:pt idx="21">
                        <c:v>31.021951219512196</c:v>
                      </c:pt>
                      <c:pt idx="22">
                        <c:v>31.065853658536586</c:v>
                      </c:pt>
                      <c:pt idx="23">
                        <c:v>31.109756097560979</c:v>
                      </c:pt>
                      <c:pt idx="24">
                        <c:v>31.153658536585368</c:v>
                      </c:pt>
                      <c:pt idx="25">
                        <c:v>31.197560975609758</c:v>
                      </c:pt>
                      <c:pt idx="26">
                        <c:v>31.241463414634147</c:v>
                      </c:pt>
                      <c:pt idx="27">
                        <c:v>31.28536585365854</c:v>
                      </c:pt>
                      <c:pt idx="28">
                        <c:v>31.329268292682929</c:v>
                      </c:pt>
                      <c:pt idx="29">
                        <c:v>31.373170731707319</c:v>
                      </c:pt>
                      <c:pt idx="30">
                        <c:v>31.417073170731708</c:v>
                      </c:pt>
                      <c:pt idx="31">
                        <c:v>31.460975609756101</c:v>
                      </c:pt>
                      <c:pt idx="32">
                        <c:v>31.50487804878049</c:v>
                      </c:pt>
                      <c:pt idx="33">
                        <c:v>31.54878048780488</c:v>
                      </c:pt>
                      <c:pt idx="34">
                        <c:v>31.592682926829269</c:v>
                      </c:pt>
                      <c:pt idx="35">
                        <c:v>31.636585365853662</c:v>
                      </c:pt>
                      <c:pt idx="36">
                        <c:v>31.680487804878052</c:v>
                      </c:pt>
                      <c:pt idx="37">
                        <c:v>31.724390243902441</c:v>
                      </c:pt>
                      <c:pt idx="38">
                        <c:v>31.76829268292683</c:v>
                      </c:pt>
                      <c:pt idx="39">
                        <c:v>31.81219512195122</c:v>
                      </c:pt>
                      <c:pt idx="40">
                        <c:v>31.856097560975613</c:v>
                      </c:pt>
                      <c:pt idx="41">
                        <c:v>31.900000000000002</c:v>
                      </c:pt>
                      <c:pt idx="42">
                        <c:v>31.943902439024392</c:v>
                      </c:pt>
                      <c:pt idx="43">
                        <c:v>31.987804878048784</c:v>
                      </c:pt>
                      <c:pt idx="44">
                        <c:v>32.03170731707317</c:v>
                      </c:pt>
                      <c:pt idx="45">
                        <c:v>32.075609756097563</c:v>
                      </c:pt>
                      <c:pt idx="46">
                        <c:v>32.119512195121956</c:v>
                      </c:pt>
                      <c:pt idx="47">
                        <c:v>32.163414634146342</c:v>
                      </c:pt>
                      <c:pt idx="48">
                        <c:v>32.207317073170735</c:v>
                      </c:pt>
                      <c:pt idx="49">
                        <c:v>32.251219512195121</c:v>
                      </c:pt>
                      <c:pt idx="50">
                        <c:v>32.295121951219514</c:v>
                      </c:pt>
                      <c:pt idx="51">
                        <c:v>32.339024390243907</c:v>
                      </c:pt>
                      <c:pt idx="52">
                        <c:v>32.382926829268293</c:v>
                      </c:pt>
                      <c:pt idx="53">
                        <c:v>32.426829268292686</c:v>
                      </c:pt>
                      <c:pt idx="54">
                        <c:v>32.470731707317078</c:v>
                      </c:pt>
                      <c:pt idx="55">
                        <c:v>32.514634146341464</c:v>
                      </c:pt>
                      <c:pt idx="56">
                        <c:v>32.558536585365857</c:v>
                      </c:pt>
                      <c:pt idx="57">
                        <c:v>32.602439024390243</c:v>
                      </c:pt>
                      <c:pt idx="58">
                        <c:v>32.646341463414636</c:v>
                      </c:pt>
                      <c:pt idx="59">
                        <c:v>32.690243902439029</c:v>
                      </c:pt>
                      <c:pt idx="60">
                        <c:v>32.734146341463415</c:v>
                      </c:pt>
                      <c:pt idx="61">
                        <c:v>32.778048780487808</c:v>
                      </c:pt>
                      <c:pt idx="62">
                        <c:v>32.821951219512201</c:v>
                      </c:pt>
                      <c:pt idx="63">
                        <c:v>32.865853658536587</c:v>
                      </c:pt>
                      <c:pt idx="64">
                        <c:v>32.90975609756098</c:v>
                      </c:pt>
                      <c:pt idx="65">
                        <c:v>32.953658536585365</c:v>
                      </c:pt>
                      <c:pt idx="66">
                        <c:v>32.997560975609758</c:v>
                      </c:pt>
                      <c:pt idx="67">
                        <c:v>33.041463414634151</c:v>
                      </c:pt>
                      <c:pt idx="68">
                        <c:v>33.085365853658537</c:v>
                      </c:pt>
                      <c:pt idx="69">
                        <c:v>33.12926829268293</c:v>
                      </c:pt>
                      <c:pt idx="70">
                        <c:v>33.173170731707316</c:v>
                      </c:pt>
                      <c:pt idx="71">
                        <c:v>33.217073170731709</c:v>
                      </c:pt>
                      <c:pt idx="72">
                        <c:v>33.260975609756102</c:v>
                      </c:pt>
                      <c:pt idx="73">
                        <c:v>33.304878048780488</c:v>
                      </c:pt>
                      <c:pt idx="74">
                        <c:v>33.348780487804881</c:v>
                      </c:pt>
                      <c:pt idx="75">
                        <c:v>33.392682926829274</c:v>
                      </c:pt>
                      <c:pt idx="76">
                        <c:v>33.436585365853659</c:v>
                      </c:pt>
                      <c:pt idx="77">
                        <c:v>33.480487804878052</c:v>
                      </c:pt>
                      <c:pt idx="78">
                        <c:v>33.524390243902445</c:v>
                      </c:pt>
                      <c:pt idx="79">
                        <c:v>33.568292682926831</c:v>
                      </c:pt>
                      <c:pt idx="80">
                        <c:v>33.612195121951224</c:v>
                      </c:pt>
                      <c:pt idx="81">
                        <c:v>33.65609756097561</c:v>
                      </c:pt>
                      <c:pt idx="82">
                        <c:v>33.700000000000003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388-4C6F-A90C-902F13448BF0}"/>
                  </c:ext>
                </c:extLst>
              </c15:ser>
            </c15:filteredLineSeries>
          </c:ext>
        </c:extLst>
      </c:lineChart>
      <c:catAx>
        <c:axId val="2049725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049725760"/>
        <c:crosses val="autoZero"/>
        <c:auto val="1"/>
        <c:lblAlgn val="ctr"/>
        <c:lblOffset val="100"/>
        <c:noMultiLvlLbl val="0"/>
      </c:catAx>
      <c:valAx>
        <c:axId val="204972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0497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307975</xdr:colOff>
      <xdr:row>0</xdr:row>
      <xdr:rowOff>69850</xdr:rowOff>
    </xdr:from>
    <xdr:to>
      <xdr:col>12</xdr:col>
      <xdr:colOff>3175</xdr:colOff>
      <xdr:row>15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F3BB4B-7D45-7465-B211-7E76AD0BCB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FAD78-7F37-4B6B-B411-ECEA046624CF}">
  <dimension ref="A1:G40"/>
  <sheetViews>
    <sheetView workbookViewId="0">
      <selection activeCell="F12" sqref="F12"/>
    </sheetView>
  </sheetViews>
  <sheetFormatPr defaultRowHeight="14.5" x14ac:dyDescent="0.35"/>
  <cols>
    <col min="1" max="1" width="15.54296875" bestFit="1" customWidth="1"/>
    <col min="2" max="2" width="17.81640625" bestFit="1" customWidth="1"/>
    <col min="3" max="3" width="19.81640625" bestFit="1" customWidth="1"/>
    <col min="4" max="4" width="26.81640625" bestFit="1" customWidth="1"/>
    <col min="5" max="5" width="21.1796875" bestFit="1" customWidth="1"/>
    <col min="6" max="6" width="19.08984375" bestFit="1" customWidth="1"/>
    <col min="7" max="7" width="20.179687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4</v>
      </c>
      <c r="G1" t="s">
        <v>6</v>
      </c>
    </row>
    <row r="2" spans="1:7" x14ac:dyDescent="0.35">
      <c r="A2">
        <v>1001</v>
      </c>
      <c r="B2">
        <v>1507</v>
      </c>
      <c r="C2">
        <v>2501</v>
      </c>
      <c r="D2">
        <v>2505</v>
      </c>
      <c r="E2">
        <v>2706</v>
      </c>
      <c r="F2">
        <v>2815</v>
      </c>
      <c r="G2">
        <v>4401</v>
      </c>
    </row>
    <row r="3" spans="1:7" x14ac:dyDescent="0.35">
      <c r="A3">
        <v>1002</v>
      </c>
      <c r="B3">
        <v>1511</v>
      </c>
      <c r="C3">
        <v>2503</v>
      </c>
      <c r="D3">
        <v>2506</v>
      </c>
      <c r="E3">
        <v>2707</v>
      </c>
      <c r="F3">
        <v>3101</v>
      </c>
      <c r="G3">
        <v>4403</v>
      </c>
    </row>
    <row r="4" spans="1:7" x14ac:dyDescent="0.35">
      <c r="A4">
        <v>1003</v>
      </c>
      <c r="B4">
        <v>1512</v>
      </c>
      <c r="C4">
        <v>2519</v>
      </c>
      <c r="D4">
        <v>2513</v>
      </c>
      <c r="E4">
        <v>2709</v>
      </c>
      <c r="F4">
        <v>3102</v>
      </c>
      <c r="G4">
        <v>4407</v>
      </c>
    </row>
    <row r="5" spans="1:7" x14ac:dyDescent="0.35">
      <c r="A5">
        <v>1004</v>
      </c>
      <c r="B5">
        <v>1513</v>
      </c>
      <c r="C5">
        <v>2520</v>
      </c>
      <c r="D5">
        <v>2517</v>
      </c>
      <c r="E5">
        <v>2713</v>
      </c>
      <c r="F5">
        <v>3103</v>
      </c>
      <c r="G5">
        <v>4701</v>
      </c>
    </row>
    <row r="6" spans="1:7" x14ac:dyDescent="0.35">
      <c r="A6">
        <v>1006</v>
      </c>
      <c r="B6">
        <v>1514</v>
      </c>
      <c r="C6">
        <v>2521</v>
      </c>
      <c r="D6">
        <v>2518</v>
      </c>
      <c r="E6">
        <v>2714</v>
      </c>
      <c r="F6">
        <v>3104</v>
      </c>
      <c r="G6">
        <v>4702</v>
      </c>
    </row>
    <row r="7" spans="1:7" x14ac:dyDescent="0.35">
      <c r="A7">
        <v>1007</v>
      </c>
      <c r="B7">
        <v>2710</v>
      </c>
      <c r="C7">
        <v>2522</v>
      </c>
      <c r="D7">
        <v>2528</v>
      </c>
      <c r="E7">
        <v>2715</v>
      </c>
      <c r="F7">
        <v>3105</v>
      </c>
      <c r="G7">
        <v>4703</v>
      </c>
    </row>
    <row r="8" spans="1:7" x14ac:dyDescent="0.35">
      <c r="A8">
        <v>1008</v>
      </c>
      <c r="B8">
        <v>3826</v>
      </c>
      <c r="C8">
        <v>2523</v>
      </c>
      <c r="D8">
        <v>2529</v>
      </c>
      <c r="G8">
        <v>4704</v>
      </c>
    </row>
    <row r="9" spans="1:7" x14ac:dyDescent="0.35">
      <c r="A9">
        <v>1201</v>
      </c>
      <c r="C9">
        <v>2508</v>
      </c>
      <c r="D9">
        <v>2530</v>
      </c>
      <c r="G9">
        <v>4705</v>
      </c>
    </row>
    <row r="10" spans="1:7" x14ac:dyDescent="0.35">
      <c r="A10">
        <v>1204</v>
      </c>
      <c r="C10">
        <v>2509</v>
      </c>
      <c r="D10">
        <v>2601</v>
      </c>
      <c r="G10">
        <v>4706</v>
      </c>
    </row>
    <row r="11" spans="1:7" x14ac:dyDescent="0.35">
      <c r="A11">
        <v>1205</v>
      </c>
      <c r="C11">
        <v>2510</v>
      </c>
      <c r="D11">
        <v>2602</v>
      </c>
      <c r="G11">
        <v>4707</v>
      </c>
    </row>
    <row r="12" spans="1:7" x14ac:dyDescent="0.35">
      <c r="A12">
        <v>1206</v>
      </c>
      <c r="C12">
        <v>2511</v>
      </c>
      <c r="D12">
        <v>2603</v>
      </c>
      <c r="G12">
        <v>7204</v>
      </c>
    </row>
    <row r="13" spans="1:7" x14ac:dyDescent="0.35">
      <c r="A13">
        <v>1207</v>
      </c>
      <c r="C13">
        <v>2818</v>
      </c>
      <c r="D13">
        <v>2604</v>
      </c>
      <c r="G13">
        <v>7206</v>
      </c>
    </row>
    <row r="14" spans="1:7" x14ac:dyDescent="0.35">
      <c r="A14">
        <v>1213</v>
      </c>
      <c r="C14">
        <v>7501</v>
      </c>
      <c r="D14">
        <v>2606</v>
      </c>
      <c r="G14">
        <v>7207</v>
      </c>
    </row>
    <row r="15" spans="1:7" x14ac:dyDescent="0.35">
      <c r="A15">
        <v>1701</v>
      </c>
      <c r="D15">
        <v>2607</v>
      </c>
      <c r="G15">
        <v>7208</v>
      </c>
    </row>
    <row r="16" spans="1:7" x14ac:dyDescent="0.35">
      <c r="A16">
        <v>2301</v>
      </c>
      <c r="D16">
        <v>2608</v>
      </c>
      <c r="G16">
        <v>7209</v>
      </c>
    </row>
    <row r="17" spans="4:7" x14ac:dyDescent="0.35">
      <c r="D17">
        <v>2614</v>
      </c>
      <c r="G17">
        <v>7210</v>
      </c>
    </row>
    <row r="18" spans="4:7" x14ac:dyDescent="0.35">
      <c r="D18">
        <v>2618</v>
      </c>
      <c r="G18">
        <v>7211</v>
      </c>
    </row>
    <row r="19" spans="4:7" x14ac:dyDescent="0.35">
      <c r="D19">
        <v>2619</v>
      </c>
      <c r="G19">
        <v>7212</v>
      </c>
    </row>
    <row r="20" spans="4:7" x14ac:dyDescent="0.35">
      <c r="D20">
        <v>2620</v>
      </c>
      <c r="G20">
        <v>7213</v>
      </c>
    </row>
    <row r="21" spans="4:7" x14ac:dyDescent="0.35">
      <c r="D21">
        <v>2701</v>
      </c>
      <c r="G21">
        <v>7214</v>
      </c>
    </row>
    <row r="22" spans="4:7" x14ac:dyDescent="0.35">
      <c r="D22">
        <v>2702</v>
      </c>
      <c r="G22">
        <v>7215</v>
      </c>
    </row>
    <row r="23" spans="4:7" x14ac:dyDescent="0.35">
      <c r="D23">
        <v>2703</v>
      </c>
      <c r="G23">
        <v>7216</v>
      </c>
    </row>
    <row r="24" spans="4:7" x14ac:dyDescent="0.35">
      <c r="D24">
        <v>2803</v>
      </c>
      <c r="G24">
        <v>7217</v>
      </c>
    </row>
    <row r="25" spans="4:7" x14ac:dyDescent="0.35">
      <c r="D25">
        <v>7201</v>
      </c>
      <c r="G25">
        <v>7218</v>
      </c>
    </row>
    <row r="26" spans="4:7" x14ac:dyDescent="0.35">
      <c r="D26">
        <v>7202</v>
      </c>
      <c r="G26">
        <v>7219</v>
      </c>
    </row>
    <row r="27" spans="4:7" x14ac:dyDescent="0.35">
      <c r="D27">
        <v>7203</v>
      </c>
      <c r="G27">
        <v>7220</v>
      </c>
    </row>
    <row r="28" spans="4:7" x14ac:dyDescent="0.35">
      <c r="G28">
        <v>7221</v>
      </c>
    </row>
    <row r="29" spans="4:7" x14ac:dyDescent="0.35">
      <c r="G29">
        <v>7222</v>
      </c>
    </row>
    <row r="30" spans="4:7" x14ac:dyDescent="0.35">
      <c r="G30">
        <v>7223</v>
      </c>
    </row>
    <row r="31" spans="4:7" x14ac:dyDescent="0.35">
      <c r="G31">
        <v>7224</v>
      </c>
    </row>
    <row r="32" spans="4:7" x14ac:dyDescent="0.35">
      <c r="G32">
        <v>7225</v>
      </c>
    </row>
    <row r="33" spans="7:7" x14ac:dyDescent="0.35">
      <c r="G33">
        <v>7226</v>
      </c>
    </row>
    <row r="34" spans="7:7" x14ac:dyDescent="0.35">
      <c r="G34">
        <v>7227</v>
      </c>
    </row>
    <row r="35" spans="7:7" x14ac:dyDescent="0.35">
      <c r="G35">
        <v>7228</v>
      </c>
    </row>
    <row r="36" spans="7:7" x14ac:dyDescent="0.35">
      <c r="G36">
        <v>7229</v>
      </c>
    </row>
    <row r="37" spans="7:7" x14ac:dyDescent="0.35">
      <c r="G37">
        <v>7301</v>
      </c>
    </row>
    <row r="38" spans="7:7" x14ac:dyDescent="0.35">
      <c r="G38">
        <v>7404</v>
      </c>
    </row>
    <row r="39" spans="7:7" x14ac:dyDescent="0.35">
      <c r="G39">
        <v>7601</v>
      </c>
    </row>
    <row r="40" spans="7:7" x14ac:dyDescent="0.35">
      <c r="G40">
        <v>7602</v>
      </c>
    </row>
  </sheetData>
  <conditionalFormatting sqref="A2:G40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61801-EF69-4C36-AE90-4DCB21594C37}">
  <dimension ref="A1:B104"/>
  <sheetViews>
    <sheetView topLeftCell="A34" workbookViewId="0">
      <selection activeCell="M47" sqref="M47"/>
    </sheetView>
  </sheetViews>
  <sheetFormatPr defaultRowHeight="14.5" x14ac:dyDescent="0.35"/>
  <sheetData>
    <row r="1" spans="1:2" x14ac:dyDescent="0.35">
      <c r="A1" t="s">
        <v>13</v>
      </c>
      <c r="B1" t="s">
        <v>12</v>
      </c>
    </row>
    <row r="2" spans="1:2" x14ac:dyDescent="0.35">
      <c r="A2" t="s">
        <v>14</v>
      </c>
      <c r="B2">
        <v>1001</v>
      </c>
    </row>
    <row r="3" spans="1:2" x14ac:dyDescent="0.35">
      <c r="A3" t="s">
        <v>14</v>
      </c>
      <c r="B3">
        <v>1002</v>
      </c>
    </row>
    <row r="4" spans="1:2" x14ac:dyDescent="0.35">
      <c r="A4" t="s">
        <v>14</v>
      </c>
      <c r="B4">
        <v>1003</v>
      </c>
    </row>
    <row r="5" spans="1:2" x14ac:dyDescent="0.35">
      <c r="A5" t="s">
        <v>14</v>
      </c>
      <c r="B5">
        <v>1004</v>
      </c>
    </row>
    <row r="6" spans="1:2" x14ac:dyDescent="0.35">
      <c r="A6" t="s">
        <v>14</v>
      </c>
      <c r="B6">
        <v>1006</v>
      </c>
    </row>
    <row r="7" spans="1:2" x14ac:dyDescent="0.35">
      <c r="A7" t="s">
        <v>14</v>
      </c>
      <c r="B7">
        <v>1007</v>
      </c>
    </row>
    <row r="8" spans="1:2" x14ac:dyDescent="0.35">
      <c r="A8" t="s">
        <v>14</v>
      </c>
      <c r="B8">
        <v>1008</v>
      </c>
    </row>
    <row r="9" spans="1:2" x14ac:dyDescent="0.35">
      <c r="A9" t="s">
        <v>14</v>
      </c>
      <c r="B9">
        <v>1201</v>
      </c>
    </row>
    <row r="10" spans="1:2" x14ac:dyDescent="0.35">
      <c r="A10" t="s">
        <v>14</v>
      </c>
      <c r="B10">
        <v>1204</v>
      </c>
    </row>
    <row r="11" spans="1:2" x14ac:dyDescent="0.35">
      <c r="A11" t="s">
        <v>14</v>
      </c>
      <c r="B11">
        <v>1205</v>
      </c>
    </row>
    <row r="12" spans="1:2" x14ac:dyDescent="0.35">
      <c r="A12" t="s">
        <v>14</v>
      </c>
      <c r="B12">
        <v>1206</v>
      </c>
    </row>
    <row r="13" spans="1:2" x14ac:dyDescent="0.35">
      <c r="A13" t="s">
        <v>14</v>
      </c>
      <c r="B13">
        <v>1207</v>
      </c>
    </row>
    <row r="14" spans="1:2" x14ac:dyDescent="0.35">
      <c r="A14" t="s">
        <v>14</v>
      </c>
      <c r="B14">
        <v>1213</v>
      </c>
    </row>
    <row r="15" spans="1:2" x14ac:dyDescent="0.35">
      <c r="A15" t="s">
        <v>14</v>
      </c>
      <c r="B15">
        <v>1701</v>
      </c>
    </row>
    <row r="16" spans="1:2" x14ac:dyDescent="0.35">
      <c r="A16" t="s">
        <v>14</v>
      </c>
      <c r="B16">
        <v>2301</v>
      </c>
    </row>
    <row r="17" spans="1:2" x14ac:dyDescent="0.35">
      <c r="A17" t="s">
        <v>15</v>
      </c>
      <c r="B17">
        <v>1507</v>
      </c>
    </row>
    <row r="18" spans="1:2" x14ac:dyDescent="0.35">
      <c r="A18" t="s">
        <v>15</v>
      </c>
      <c r="B18">
        <v>1511</v>
      </c>
    </row>
    <row r="19" spans="1:2" x14ac:dyDescent="0.35">
      <c r="A19" t="s">
        <v>15</v>
      </c>
      <c r="B19">
        <v>1512</v>
      </c>
    </row>
    <row r="20" spans="1:2" x14ac:dyDescent="0.35">
      <c r="A20" t="s">
        <v>15</v>
      </c>
      <c r="B20">
        <v>1513</v>
      </c>
    </row>
    <row r="21" spans="1:2" x14ac:dyDescent="0.35">
      <c r="A21" t="s">
        <v>15</v>
      </c>
      <c r="B21">
        <v>1514</v>
      </c>
    </row>
    <row r="22" spans="1:2" x14ac:dyDescent="0.35">
      <c r="A22" t="s">
        <v>15</v>
      </c>
      <c r="B22">
        <v>2710</v>
      </c>
    </row>
    <row r="23" spans="1:2" x14ac:dyDescent="0.35">
      <c r="A23" t="s">
        <v>15</v>
      </c>
      <c r="B23">
        <v>3826</v>
      </c>
    </row>
    <row r="24" spans="1:2" x14ac:dyDescent="0.35">
      <c r="A24" t="s">
        <v>14</v>
      </c>
      <c r="B24">
        <v>2501</v>
      </c>
    </row>
    <row r="25" spans="1:2" x14ac:dyDescent="0.35">
      <c r="A25" t="s">
        <v>14</v>
      </c>
      <c r="B25">
        <v>2503</v>
      </c>
    </row>
    <row r="26" spans="1:2" x14ac:dyDescent="0.35">
      <c r="A26" t="s">
        <v>14</v>
      </c>
      <c r="B26">
        <v>2519</v>
      </c>
    </row>
    <row r="27" spans="1:2" x14ac:dyDescent="0.35">
      <c r="A27" t="s">
        <v>14</v>
      </c>
      <c r="B27">
        <v>2520</v>
      </c>
    </row>
    <row r="28" spans="1:2" x14ac:dyDescent="0.35">
      <c r="A28" t="s">
        <v>14</v>
      </c>
      <c r="B28">
        <v>2521</v>
      </c>
    </row>
    <row r="29" spans="1:2" x14ac:dyDescent="0.35">
      <c r="A29" t="s">
        <v>14</v>
      </c>
      <c r="B29">
        <v>2522</v>
      </c>
    </row>
    <row r="30" spans="1:2" x14ac:dyDescent="0.35">
      <c r="A30" t="s">
        <v>14</v>
      </c>
      <c r="B30">
        <v>2523</v>
      </c>
    </row>
    <row r="31" spans="1:2" x14ac:dyDescent="0.35">
      <c r="A31" t="s">
        <v>14</v>
      </c>
      <c r="B31">
        <v>2508</v>
      </c>
    </row>
    <row r="32" spans="1:2" x14ac:dyDescent="0.35">
      <c r="A32" t="s">
        <v>14</v>
      </c>
      <c r="B32">
        <v>2509</v>
      </c>
    </row>
    <row r="33" spans="1:2" x14ac:dyDescent="0.35">
      <c r="A33" t="s">
        <v>14</v>
      </c>
      <c r="B33">
        <v>2510</v>
      </c>
    </row>
    <row r="34" spans="1:2" x14ac:dyDescent="0.35">
      <c r="A34" t="s">
        <v>14</v>
      </c>
      <c r="B34">
        <v>2511</v>
      </c>
    </row>
    <row r="35" spans="1:2" x14ac:dyDescent="0.35">
      <c r="A35" t="s">
        <v>14</v>
      </c>
      <c r="B35">
        <v>2818</v>
      </c>
    </row>
    <row r="36" spans="1:2" x14ac:dyDescent="0.35">
      <c r="A36" t="s">
        <v>14</v>
      </c>
      <c r="B36">
        <v>7501</v>
      </c>
    </row>
    <row r="37" spans="1:2" x14ac:dyDescent="0.35">
      <c r="A37" t="s">
        <v>14</v>
      </c>
      <c r="B37">
        <v>2505</v>
      </c>
    </row>
    <row r="38" spans="1:2" x14ac:dyDescent="0.35">
      <c r="A38" t="s">
        <v>14</v>
      </c>
      <c r="B38">
        <v>2506</v>
      </c>
    </row>
    <row r="39" spans="1:2" x14ac:dyDescent="0.35">
      <c r="A39" t="s">
        <v>14</v>
      </c>
      <c r="B39">
        <v>2513</v>
      </c>
    </row>
    <row r="40" spans="1:2" x14ac:dyDescent="0.35">
      <c r="A40" t="s">
        <v>14</v>
      </c>
      <c r="B40">
        <v>2517</v>
      </c>
    </row>
    <row r="41" spans="1:2" x14ac:dyDescent="0.35">
      <c r="A41" t="s">
        <v>14</v>
      </c>
      <c r="B41">
        <v>2518</v>
      </c>
    </row>
    <row r="42" spans="1:2" x14ac:dyDescent="0.35">
      <c r="A42" t="s">
        <v>14</v>
      </c>
      <c r="B42">
        <v>2528</v>
      </c>
    </row>
    <row r="43" spans="1:2" x14ac:dyDescent="0.35">
      <c r="A43" t="s">
        <v>14</v>
      </c>
      <c r="B43">
        <v>2529</v>
      </c>
    </row>
    <row r="44" spans="1:2" x14ac:dyDescent="0.35">
      <c r="A44" t="s">
        <v>14</v>
      </c>
      <c r="B44">
        <v>2530</v>
      </c>
    </row>
    <row r="45" spans="1:2" x14ac:dyDescent="0.35">
      <c r="A45" t="s">
        <v>14</v>
      </c>
      <c r="B45">
        <v>2601</v>
      </c>
    </row>
    <row r="46" spans="1:2" x14ac:dyDescent="0.35">
      <c r="A46" t="s">
        <v>14</v>
      </c>
      <c r="B46">
        <v>2602</v>
      </c>
    </row>
    <row r="47" spans="1:2" x14ac:dyDescent="0.35">
      <c r="A47" t="s">
        <v>14</v>
      </c>
      <c r="B47">
        <v>2603</v>
      </c>
    </row>
    <row r="48" spans="1:2" x14ac:dyDescent="0.35">
      <c r="A48" t="s">
        <v>14</v>
      </c>
      <c r="B48">
        <v>2604</v>
      </c>
    </row>
    <row r="49" spans="1:2" x14ac:dyDescent="0.35">
      <c r="A49" t="s">
        <v>14</v>
      </c>
      <c r="B49">
        <v>2606</v>
      </c>
    </row>
    <row r="50" spans="1:2" x14ac:dyDescent="0.35">
      <c r="A50" t="s">
        <v>14</v>
      </c>
      <c r="B50">
        <v>2607</v>
      </c>
    </row>
    <row r="51" spans="1:2" x14ac:dyDescent="0.35">
      <c r="A51" t="s">
        <v>14</v>
      </c>
      <c r="B51">
        <v>2608</v>
      </c>
    </row>
    <row r="52" spans="1:2" x14ac:dyDescent="0.35">
      <c r="A52" t="s">
        <v>14</v>
      </c>
      <c r="B52">
        <v>2614</v>
      </c>
    </row>
    <row r="53" spans="1:2" x14ac:dyDescent="0.35">
      <c r="A53" t="s">
        <v>14</v>
      </c>
      <c r="B53">
        <v>2618</v>
      </c>
    </row>
    <row r="54" spans="1:2" x14ac:dyDescent="0.35">
      <c r="A54" t="s">
        <v>14</v>
      </c>
      <c r="B54">
        <v>2620</v>
      </c>
    </row>
    <row r="55" spans="1:2" x14ac:dyDescent="0.35">
      <c r="A55" t="s">
        <v>14</v>
      </c>
      <c r="B55">
        <v>2701</v>
      </c>
    </row>
    <row r="56" spans="1:2" x14ac:dyDescent="0.35">
      <c r="A56" t="s">
        <v>14</v>
      </c>
      <c r="B56">
        <v>2702</v>
      </c>
    </row>
    <row r="57" spans="1:2" x14ac:dyDescent="0.35">
      <c r="A57" t="s">
        <v>14</v>
      </c>
      <c r="B57">
        <v>2703</v>
      </c>
    </row>
    <row r="58" spans="1:2" x14ac:dyDescent="0.35">
      <c r="A58" t="s">
        <v>14</v>
      </c>
      <c r="B58">
        <v>2803</v>
      </c>
    </row>
    <row r="59" spans="1:2" x14ac:dyDescent="0.35">
      <c r="A59" t="s">
        <v>14</v>
      </c>
      <c r="B59">
        <v>7201</v>
      </c>
    </row>
    <row r="60" spans="1:2" x14ac:dyDescent="0.35">
      <c r="A60" t="s">
        <v>14</v>
      </c>
      <c r="B60">
        <v>7202</v>
      </c>
    </row>
    <row r="61" spans="1:2" x14ac:dyDescent="0.35">
      <c r="A61" t="s">
        <v>14</v>
      </c>
      <c r="B61">
        <v>7203</v>
      </c>
    </row>
    <row r="62" spans="1:2" x14ac:dyDescent="0.35">
      <c r="A62" t="s">
        <v>14</v>
      </c>
      <c r="B62">
        <v>2713</v>
      </c>
    </row>
    <row r="63" spans="1:2" x14ac:dyDescent="0.35">
      <c r="A63" t="s">
        <v>15</v>
      </c>
      <c r="B63">
        <v>2815</v>
      </c>
    </row>
    <row r="64" spans="1:2" x14ac:dyDescent="0.35">
      <c r="A64" t="s">
        <v>14</v>
      </c>
      <c r="B64">
        <v>3101</v>
      </c>
    </row>
    <row r="65" spans="1:2" x14ac:dyDescent="0.35">
      <c r="A65" t="s">
        <v>14</v>
      </c>
      <c r="B65">
        <v>4401</v>
      </c>
    </row>
    <row r="66" spans="1:2" x14ac:dyDescent="0.35">
      <c r="A66" t="s">
        <v>14</v>
      </c>
      <c r="B66">
        <v>4403</v>
      </c>
    </row>
    <row r="67" spans="1:2" x14ac:dyDescent="0.35">
      <c r="A67" t="s">
        <v>14</v>
      </c>
      <c r="B67">
        <v>4407</v>
      </c>
    </row>
    <row r="68" spans="1:2" x14ac:dyDescent="0.35">
      <c r="A68" t="s">
        <v>14</v>
      </c>
      <c r="B68">
        <v>4701</v>
      </c>
    </row>
    <row r="69" spans="1:2" x14ac:dyDescent="0.35">
      <c r="A69" t="s">
        <v>14</v>
      </c>
      <c r="B69">
        <v>4702</v>
      </c>
    </row>
    <row r="70" spans="1:2" x14ac:dyDescent="0.35">
      <c r="A70" t="s">
        <v>14</v>
      </c>
      <c r="B70">
        <v>4703</v>
      </c>
    </row>
    <row r="71" spans="1:2" x14ac:dyDescent="0.35">
      <c r="A71" t="s">
        <v>14</v>
      </c>
      <c r="B71">
        <v>4704</v>
      </c>
    </row>
    <row r="72" spans="1:2" x14ac:dyDescent="0.35">
      <c r="A72" t="s">
        <v>14</v>
      </c>
      <c r="B72">
        <v>4705</v>
      </c>
    </row>
    <row r="73" spans="1:2" x14ac:dyDescent="0.35">
      <c r="A73" t="s">
        <v>14</v>
      </c>
      <c r="B73">
        <v>4706</v>
      </c>
    </row>
    <row r="74" spans="1:2" x14ac:dyDescent="0.35">
      <c r="A74" t="s">
        <v>14</v>
      </c>
      <c r="B74">
        <v>4707</v>
      </c>
    </row>
    <row r="75" spans="1:2" x14ac:dyDescent="0.35">
      <c r="A75" t="s">
        <v>14</v>
      </c>
      <c r="B75">
        <v>7204</v>
      </c>
    </row>
    <row r="76" spans="1:2" x14ac:dyDescent="0.35">
      <c r="A76" t="s">
        <v>14</v>
      </c>
      <c r="B76">
        <v>7206</v>
      </c>
    </row>
    <row r="77" spans="1:2" x14ac:dyDescent="0.35">
      <c r="A77" t="s">
        <v>14</v>
      </c>
      <c r="B77">
        <v>7207</v>
      </c>
    </row>
    <row r="78" spans="1:2" x14ac:dyDescent="0.35">
      <c r="A78" t="s">
        <v>14</v>
      </c>
      <c r="B78">
        <v>7208</v>
      </c>
    </row>
    <row r="79" spans="1:2" x14ac:dyDescent="0.35">
      <c r="A79" t="s">
        <v>14</v>
      </c>
      <c r="B79">
        <v>7209</v>
      </c>
    </row>
    <row r="80" spans="1:2" x14ac:dyDescent="0.35">
      <c r="A80" t="s">
        <v>14</v>
      </c>
      <c r="B80">
        <v>7210</v>
      </c>
    </row>
    <row r="81" spans="1:2" x14ac:dyDescent="0.35">
      <c r="A81" t="s">
        <v>14</v>
      </c>
      <c r="B81">
        <v>7211</v>
      </c>
    </row>
    <row r="82" spans="1:2" x14ac:dyDescent="0.35">
      <c r="A82" t="s">
        <v>14</v>
      </c>
      <c r="B82">
        <v>7212</v>
      </c>
    </row>
    <row r="83" spans="1:2" x14ac:dyDescent="0.35">
      <c r="A83" t="s">
        <v>14</v>
      </c>
      <c r="B83">
        <v>7213</v>
      </c>
    </row>
    <row r="84" spans="1:2" x14ac:dyDescent="0.35">
      <c r="A84" t="s">
        <v>14</v>
      </c>
      <c r="B84">
        <v>7214</v>
      </c>
    </row>
    <row r="85" spans="1:2" x14ac:dyDescent="0.35">
      <c r="A85" t="s">
        <v>14</v>
      </c>
      <c r="B85">
        <v>7215</v>
      </c>
    </row>
    <row r="86" spans="1:2" x14ac:dyDescent="0.35">
      <c r="A86" t="s">
        <v>14</v>
      </c>
      <c r="B86">
        <v>7216</v>
      </c>
    </row>
    <row r="87" spans="1:2" x14ac:dyDescent="0.35">
      <c r="A87" t="s">
        <v>14</v>
      </c>
      <c r="B87">
        <v>7217</v>
      </c>
    </row>
    <row r="88" spans="1:2" x14ac:dyDescent="0.35">
      <c r="A88" t="s">
        <v>14</v>
      </c>
      <c r="B88">
        <v>7218</v>
      </c>
    </row>
    <row r="89" spans="1:2" x14ac:dyDescent="0.35">
      <c r="A89" t="s">
        <v>14</v>
      </c>
      <c r="B89">
        <v>7219</v>
      </c>
    </row>
    <row r="90" spans="1:2" x14ac:dyDescent="0.35">
      <c r="A90" t="s">
        <v>14</v>
      </c>
      <c r="B90">
        <v>7220</v>
      </c>
    </row>
    <row r="91" spans="1:2" x14ac:dyDescent="0.35">
      <c r="A91" t="s">
        <v>14</v>
      </c>
      <c r="B91">
        <v>7221</v>
      </c>
    </row>
    <row r="92" spans="1:2" x14ac:dyDescent="0.35">
      <c r="A92" t="s">
        <v>14</v>
      </c>
      <c r="B92">
        <v>7222</v>
      </c>
    </row>
    <row r="93" spans="1:2" x14ac:dyDescent="0.35">
      <c r="A93" t="s">
        <v>14</v>
      </c>
      <c r="B93">
        <v>7223</v>
      </c>
    </row>
    <row r="94" spans="1:2" x14ac:dyDescent="0.35">
      <c r="A94" t="s">
        <v>14</v>
      </c>
      <c r="B94">
        <v>7224</v>
      </c>
    </row>
    <row r="95" spans="1:2" x14ac:dyDescent="0.35">
      <c r="A95" t="s">
        <v>14</v>
      </c>
      <c r="B95">
        <v>7225</v>
      </c>
    </row>
    <row r="96" spans="1:2" x14ac:dyDescent="0.35">
      <c r="A96" t="s">
        <v>14</v>
      </c>
      <c r="B96">
        <v>7226</v>
      </c>
    </row>
    <row r="97" spans="1:2" x14ac:dyDescent="0.35">
      <c r="A97" t="s">
        <v>14</v>
      </c>
      <c r="B97">
        <v>7227</v>
      </c>
    </row>
    <row r="98" spans="1:2" x14ac:dyDescent="0.35">
      <c r="A98" t="s">
        <v>14</v>
      </c>
      <c r="B98">
        <v>7228</v>
      </c>
    </row>
    <row r="99" spans="1:2" x14ac:dyDescent="0.35">
      <c r="A99" t="s">
        <v>14</v>
      </c>
      <c r="B99">
        <v>7229</v>
      </c>
    </row>
    <row r="100" spans="1:2" x14ac:dyDescent="0.35">
      <c r="A100" t="s">
        <v>14</v>
      </c>
      <c r="B100">
        <v>7301</v>
      </c>
    </row>
    <row r="101" spans="1:2" x14ac:dyDescent="0.35">
      <c r="A101" t="s">
        <v>14</v>
      </c>
      <c r="B101">
        <v>7404</v>
      </c>
    </row>
    <row r="102" spans="1:2" x14ac:dyDescent="0.35">
      <c r="A102" t="s">
        <v>14</v>
      </c>
      <c r="B102">
        <v>7601</v>
      </c>
    </row>
    <row r="103" spans="1:2" x14ac:dyDescent="0.35">
      <c r="A103" t="s">
        <v>14</v>
      </c>
      <c r="B103">
        <v>7602</v>
      </c>
    </row>
    <row r="104" spans="1:2" x14ac:dyDescent="0.35">
      <c r="A104" t="s">
        <v>16</v>
      </c>
      <c r="B104">
        <v>7777</v>
      </c>
    </row>
  </sheetData>
  <conditionalFormatting sqref="E8:F27 D28:F40 B2:B104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460CE-AC86-4338-BC24-4154CDEB9BCD}">
  <dimension ref="A1:H16"/>
  <sheetViews>
    <sheetView workbookViewId="0">
      <selection activeCell="M9" sqref="M9"/>
    </sheetView>
  </sheetViews>
  <sheetFormatPr defaultRowHeight="47.5" customHeight="1" x14ac:dyDescent="0.35"/>
  <cols>
    <col min="1" max="1" width="26.81640625" style="1" bestFit="1" customWidth="1"/>
    <col min="2" max="2" width="8.90625" style="1" customWidth="1"/>
    <col min="3" max="4" width="8.81640625" style="1" customWidth="1"/>
    <col min="5" max="5" width="9.26953125" style="1" customWidth="1"/>
    <col min="6" max="6" width="9.81640625" style="1" customWidth="1"/>
    <col min="7" max="7" width="9.36328125" style="1" customWidth="1"/>
    <col min="8" max="8" width="12" style="1" customWidth="1"/>
    <col min="9" max="16384" width="8.7265625" style="1"/>
  </cols>
  <sheetData>
    <row r="1" spans="1:8" ht="47.5" customHeight="1" x14ac:dyDescent="0.35">
      <c r="B1" s="2" t="s">
        <v>0</v>
      </c>
      <c r="C1" s="2" t="s">
        <v>1</v>
      </c>
      <c r="D1" s="2" t="s">
        <v>2</v>
      </c>
      <c r="E1" s="2" t="s">
        <v>3</v>
      </c>
      <c r="F1" s="2" t="s">
        <v>5</v>
      </c>
      <c r="G1" s="2" t="s">
        <v>4</v>
      </c>
      <c r="H1" s="2" t="s">
        <v>6</v>
      </c>
    </row>
    <row r="2" spans="1:8" ht="14.5" x14ac:dyDescent="0.35">
      <c r="A2" s="1" t="s">
        <v>0</v>
      </c>
      <c r="B2" s="1">
        <v>1</v>
      </c>
      <c r="C2" s="1">
        <v>2</v>
      </c>
      <c r="D2" s="1">
        <v>2</v>
      </c>
      <c r="E2" s="1">
        <v>1</v>
      </c>
      <c r="F2" s="1">
        <v>1</v>
      </c>
      <c r="G2" s="1">
        <v>2</v>
      </c>
      <c r="H2" s="1">
        <v>1</v>
      </c>
    </row>
    <row r="3" spans="1:8" ht="14.5" x14ac:dyDescent="0.35">
      <c r="A3" s="1" t="s">
        <v>1</v>
      </c>
      <c r="B3" s="1">
        <v>4</v>
      </c>
      <c r="C3" s="1">
        <v>2</v>
      </c>
      <c r="D3" s="1">
        <v>3</v>
      </c>
      <c r="E3" s="1">
        <v>2</v>
      </c>
      <c r="F3" s="1">
        <v>2</v>
      </c>
      <c r="G3" s="1">
        <v>4</v>
      </c>
      <c r="H3" s="1">
        <v>2</v>
      </c>
    </row>
    <row r="4" spans="1:8" ht="14.5" x14ac:dyDescent="0.35">
      <c r="A4" s="1" t="s">
        <v>2</v>
      </c>
    </row>
    <row r="5" spans="1:8" ht="14.5" x14ac:dyDescent="0.35">
      <c r="A5" s="1" t="s">
        <v>3</v>
      </c>
    </row>
    <row r="6" spans="1:8" ht="14.5" x14ac:dyDescent="0.35">
      <c r="A6" s="1" t="s">
        <v>5</v>
      </c>
    </row>
    <row r="7" spans="1:8" ht="14.5" x14ac:dyDescent="0.35">
      <c r="A7" s="1" t="s">
        <v>4</v>
      </c>
    </row>
    <row r="8" spans="1:8" ht="14.5" x14ac:dyDescent="0.35">
      <c r="A8" s="1" t="s">
        <v>6</v>
      </c>
    </row>
    <row r="9" spans="1:8" ht="47.5" customHeight="1" x14ac:dyDescent="0.35">
      <c r="B9" s="2" t="s">
        <v>0</v>
      </c>
      <c r="C9" s="2" t="s">
        <v>1</v>
      </c>
      <c r="D9" s="2" t="s">
        <v>2</v>
      </c>
      <c r="E9" s="2" t="s">
        <v>3</v>
      </c>
      <c r="F9" s="2" t="s">
        <v>5</v>
      </c>
      <c r="G9" s="2" t="s">
        <v>4</v>
      </c>
      <c r="H9" s="2" t="s">
        <v>6</v>
      </c>
    </row>
    <row r="10" spans="1:8" ht="43.5" x14ac:dyDescent="0.35">
      <c r="A10" s="1" t="s">
        <v>0</v>
      </c>
      <c r="B10" s="1" t="s">
        <v>7</v>
      </c>
      <c r="C10" s="1" t="s">
        <v>8</v>
      </c>
      <c r="D10" s="1" t="s">
        <v>7</v>
      </c>
      <c r="E10" s="1" t="s">
        <v>7</v>
      </c>
      <c r="F10" s="1" t="s">
        <v>7</v>
      </c>
      <c r="G10" s="1" t="s">
        <v>7</v>
      </c>
      <c r="H10" s="1" t="s">
        <v>7</v>
      </c>
    </row>
    <row r="11" spans="1:8" ht="43.5" x14ac:dyDescent="0.35">
      <c r="A11" s="1" t="s">
        <v>1</v>
      </c>
      <c r="B11" s="1" t="s">
        <v>7</v>
      </c>
      <c r="C11" s="1" t="s">
        <v>8</v>
      </c>
      <c r="D11" s="1" t="s">
        <v>8</v>
      </c>
      <c r="E11" s="1" t="s">
        <v>8</v>
      </c>
      <c r="F11" s="1" t="s">
        <v>8</v>
      </c>
      <c r="G11" s="1" t="s">
        <v>8</v>
      </c>
      <c r="H11" s="1" t="s">
        <v>8</v>
      </c>
    </row>
    <row r="12" spans="1:8" ht="43.5" x14ac:dyDescent="0.35">
      <c r="A12" s="1" t="s">
        <v>2</v>
      </c>
      <c r="B12" s="1" t="s">
        <v>7</v>
      </c>
      <c r="C12" s="1" t="s">
        <v>8</v>
      </c>
    </row>
    <row r="13" spans="1:8" ht="43.5" x14ac:dyDescent="0.35">
      <c r="A13" s="1" t="s">
        <v>3</v>
      </c>
      <c r="B13" s="1" t="s">
        <v>7</v>
      </c>
      <c r="C13" s="1" t="s">
        <v>8</v>
      </c>
    </row>
    <row r="14" spans="1:8" ht="43.5" x14ac:dyDescent="0.35">
      <c r="A14" s="1" t="s">
        <v>5</v>
      </c>
      <c r="B14" s="1" t="s">
        <v>7</v>
      </c>
      <c r="C14" s="1" t="s">
        <v>8</v>
      </c>
    </row>
    <row r="15" spans="1:8" ht="43.5" x14ac:dyDescent="0.35">
      <c r="A15" s="1" t="s">
        <v>4</v>
      </c>
      <c r="B15" s="1" t="s">
        <v>7</v>
      </c>
      <c r="C15" s="1" t="s">
        <v>8</v>
      </c>
    </row>
    <row r="16" spans="1:8" ht="43.5" x14ac:dyDescent="0.35">
      <c r="A16" s="1" t="s">
        <v>6</v>
      </c>
      <c r="B16" s="1" t="s">
        <v>7</v>
      </c>
      <c r="C16" s="1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68308-A4E3-4BAD-B2B1-48E796AD2089}">
  <dimension ref="A1:M8"/>
  <sheetViews>
    <sheetView workbookViewId="0">
      <selection activeCell="J2" sqref="J2"/>
    </sheetView>
  </sheetViews>
  <sheetFormatPr defaultRowHeight="14.5" x14ac:dyDescent="0.35"/>
  <cols>
    <col min="2" max="2" width="12.6328125" bestFit="1" customWidth="1"/>
    <col min="4" max="4" width="9.36328125" bestFit="1" customWidth="1"/>
  </cols>
  <sheetData>
    <row r="1" spans="1:13" ht="72.5" x14ac:dyDescent="0.35">
      <c r="B1" t="s">
        <v>10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5</v>
      </c>
      <c r="J1" s="1" t="s">
        <v>4</v>
      </c>
      <c r="K1" s="1" t="s">
        <v>6</v>
      </c>
      <c r="M1" s="1" t="s">
        <v>9</v>
      </c>
    </row>
    <row r="2" spans="1:13" ht="29" x14ac:dyDescent="0.35">
      <c r="A2" s="1" t="s">
        <v>0</v>
      </c>
      <c r="B2">
        <v>3</v>
      </c>
      <c r="D2" t="s">
        <v>11</v>
      </c>
      <c r="E2">
        <v>9</v>
      </c>
      <c r="F2">
        <v>8</v>
      </c>
      <c r="G2">
        <v>5</v>
      </c>
      <c r="H2">
        <v>3</v>
      </c>
      <c r="I2">
        <v>3</v>
      </c>
      <c r="J2">
        <v>7</v>
      </c>
      <c r="K2">
        <v>2</v>
      </c>
      <c r="M2">
        <v>14</v>
      </c>
    </row>
    <row r="3" spans="1:13" ht="43.5" x14ac:dyDescent="0.35">
      <c r="A3" s="1" t="s">
        <v>1</v>
      </c>
      <c r="B3">
        <v>5</v>
      </c>
    </row>
    <row r="4" spans="1:13" ht="43.5" x14ac:dyDescent="0.35">
      <c r="A4" s="1" t="s">
        <v>2</v>
      </c>
      <c r="B4">
        <v>3</v>
      </c>
    </row>
    <row r="5" spans="1:13" ht="72.5" x14ac:dyDescent="0.35">
      <c r="A5" s="1" t="s">
        <v>3</v>
      </c>
      <c r="B5">
        <v>4</v>
      </c>
    </row>
    <row r="6" spans="1:13" ht="58" x14ac:dyDescent="0.35">
      <c r="A6" s="1" t="s">
        <v>5</v>
      </c>
      <c r="B6">
        <v>9</v>
      </c>
    </row>
    <row r="7" spans="1:13" ht="43.5" x14ac:dyDescent="0.35">
      <c r="A7" s="1" t="s">
        <v>4</v>
      </c>
      <c r="B7">
        <v>7</v>
      </c>
    </row>
    <row r="8" spans="1:13" ht="58" x14ac:dyDescent="0.35">
      <c r="A8" s="1" t="s">
        <v>6</v>
      </c>
      <c r="B8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291ED-0DA5-427D-BCEB-11B631E4253D}">
  <dimension ref="A1:H8"/>
  <sheetViews>
    <sheetView zoomScale="85" zoomScaleNormal="85" workbookViewId="0">
      <selection activeCell="N7" sqref="N7"/>
    </sheetView>
  </sheetViews>
  <sheetFormatPr defaultRowHeight="14.5" x14ac:dyDescent="0.35"/>
  <cols>
    <col min="1" max="1" width="11.26953125" customWidth="1"/>
    <col min="2" max="2" width="11.36328125" bestFit="1" customWidth="1"/>
  </cols>
  <sheetData>
    <row r="1" spans="1:8" ht="72.5" x14ac:dyDescent="0.3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5</v>
      </c>
      <c r="G1" s="2" t="s">
        <v>4</v>
      </c>
      <c r="H1" s="2" t="s">
        <v>6</v>
      </c>
    </row>
    <row r="2" spans="1:8" ht="29" x14ac:dyDescent="0.35">
      <c r="A2" s="1" t="s">
        <v>0</v>
      </c>
      <c r="B2" s="3">
        <f>MAX(0.5,MROUND(Sheet3!$M$2*(Sheet3!$B2/9)^1.1*(Sheet3!E$2/9)^0.9,0.5))</f>
        <v>4</v>
      </c>
      <c r="C2" s="3">
        <f>MAX(0.5,MROUND(Sheet3!$M$2*(Sheet3!$B2/9)^1.1*(Sheet3!F$2/9)^0.9,0.5))</f>
        <v>4</v>
      </c>
      <c r="D2" s="3">
        <f>MAX(0.5,MROUND(Sheet3!$M$2*(Sheet3!$B2/9)^1.1*(Sheet3!G$2/9)^0.9,0.5))</f>
        <v>2.5</v>
      </c>
      <c r="E2" s="3">
        <f>MAX(0.5,MROUND(Sheet3!$M$2*(Sheet3!$B2/9)^1.1*(Sheet3!H$2/9)^0.9,0.5))</f>
        <v>1.5</v>
      </c>
      <c r="F2" s="3">
        <f>MAX(0.5,MROUND(Sheet3!$M$2*(Sheet3!$B2/9)^1.1*(Sheet3!I$2/9)^0.9,0.5))</f>
        <v>1.5</v>
      </c>
      <c r="G2" s="3">
        <f>MAX(0.5,MROUND(Sheet3!$M$2*(Sheet3!$B2/9)^1.1*(Sheet3!J$2/9)^0.9,0.5))</f>
        <v>3.5</v>
      </c>
      <c r="H2" s="3">
        <f>MAX(0.5,MROUND(Sheet3!$M$2*(Sheet3!$B2/9)^1.1*(Sheet3!K$2/9)^0.9,0.5))</f>
        <v>1</v>
      </c>
    </row>
    <row r="3" spans="1:8" ht="29" x14ac:dyDescent="0.35">
      <c r="A3" s="1" t="s">
        <v>1</v>
      </c>
      <c r="B3" s="3">
        <f>MAX(0.5,MROUND(Sheet3!$M$2*(Sheet3!$B3/9)^1.1*(Sheet3!E$2/9)^0.9,0.5))</f>
        <v>7.5</v>
      </c>
      <c r="C3" s="3">
        <f>MAX(0.5,MROUND(Sheet3!$M$2*(Sheet3!$B3/9)^1.1*(Sheet3!F$2/9)^0.9,0.5))</f>
        <v>6.5</v>
      </c>
      <c r="D3" s="3">
        <f>MAX(0.5,MROUND(Sheet3!$M$2*(Sheet3!$B3/9)^1.1*(Sheet3!G$2/9)^0.9,0.5))</f>
        <v>4.5</v>
      </c>
      <c r="E3" s="3">
        <f>MAX(0.5,MROUND(Sheet3!$M$2*(Sheet3!$B3/9)^1.1*(Sheet3!H$2/9)^0.9,0.5))</f>
        <v>2.5</v>
      </c>
      <c r="F3" s="3">
        <f>MAX(0.5,MROUND(Sheet3!$M$2*(Sheet3!$B3/9)^1.1*(Sheet3!I$2/9)^0.9,0.5))</f>
        <v>2.5</v>
      </c>
      <c r="G3" s="3">
        <f>MAX(0.5,MROUND(Sheet3!$M$2*(Sheet3!$B3/9)^1.1*(Sheet3!J$2/9)^0.9,0.5))</f>
        <v>6</v>
      </c>
      <c r="H3" s="3">
        <f>MAX(0.5,MROUND(Sheet3!$M$2*(Sheet3!$B3/9)^1.1*(Sheet3!K$2/9)^0.9,0.5))</f>
        <v>2</v>
      </c>
    </row>
    <row r="4" spans="1:8" ht="43.5" x14ac:dyDescent="0.35">
      <c r="A4" s="1" t="s">
        <v>2</v>
      </c>
      <c r="B4" s="3">
        <f>MAX(0.5,MROUND(Sheet3!$M$2*(Sheet3!$B4/9)^1.1*(Sheet3!E$2/9)^0.9,0.5))</f>
        <v>4</v>
      </c>
      <c r="C4" s="3">
        <f>MAX(0.5,MROUND(Sheet3!$M$2*(Sheet3!$B4/9)^1.1*(Sheet3!F$2/9)^0.9,0.5))</f>
        <v>4</v>
      </c>
      <c r="D4" s="3">
        <f>MAX(0.5,MROUND(Sheet3!$M$2*(Sheet3!$B4/9)^1.1*(Sheet3!G$2/9)^0.9,0.5))</f>
        <v>2.5</v>
      </c>
      <c r="E4" s="3">
        <f>MAX(0.5,MROUND(Sheet3!$M$2*(Sheet3!$B4/9)^1.1*(Sheet3!H$2/9)^0.9,0.5))</f>
        <v>1.5</v>
      </c>
      <c r="F4" s="3">
        <f>MAX(0.5,MROUND(Sheet3!$M$2*(Sheet3!$B4/9)^1.1*(Sheet3!I$2/9)^0.9,0.5))</f>
        <v>1.5</v>
      </c>
      <c r="G4" s="3">
        <f>MAX(0.5,MROUND(Sheet3!$M$2*(Sheet3!$B4/9)^1.1*(Sheet3!J$2/9)^0.9,0.5))</f>
        <v>3.5</v>
      </c>
      <c r="H4" s="3">
        <f>MAX(0.5,MROUND(Sheet3!$M$2*(Sheet3!$B4/9)^1.1*(Sheet3!K$2/9)^0.9,0.5))</f>
        <v>1</v>
      </c>
    </row>
    <row r="5" spans="1:8" ht="43.5" x14ac:dyDescent="0.35">
      <c r="A5" s="1" t="s">
        <v>3</v>
      </c>
      <c r="B5" s="3">
        <f>MAX(0.5,MROUND(Sheet3!$M$2*(Sheet3!$B5/9)^1.1*(Sheet3!E$2/9)^0.9,0.5))</f>
        <v>5.5</v>
      </c>
      <c r="C5" s="3">
        <f>MAX(0.5,MROUND(Sheet3!$M$2*(Sheet3!$B5/9)^1.1*(Sheet3!F$2/9)^0.9,0.5))</f>
        <v>5</v>
      </c>
      <c r="D5" s="3">
        <f>MAX(0.5,MROUND(Sheet3!$M$2*(Sheet3!$B5/9)^1.1*(Sheet3!G$2/9)^0.9,0.5))</f>
        <v>3.5</v>
      </c>
      <c r="E5" s="3">
        <f>MAX(0.5,MROUND(Sheet3!$M$2*(Sheet3!$B5/9)^1.1*(Sheet3!H$2/9)^0.9,0.5))</f>
        <v>2</v>
      </c>
      <c r="F5" s="3">
        <f>MAX(0.5,MROUND(Sheet3!$M$2*(Sheet3!$B5/9)^1.1*(Sheet3!I$2/9)^0.9,0.5))</f>
        <v>2</v>
      </c>
      <c r="G5" s="3">
        <f>MAX(0.5,MROUND(Sheet3!$M$2*(Sheet3!$B5/9)^1.1*(Sheet3!J$2/9)^0.9,0.5))</f>
        <v>4.5</v>
      </c>
      <c r="H5" s="3">
        <f>MAX(0.5,MROUND(Sheet3!$M$2*(Sheet3!$B5/9)^1.1*(Sheet3!K$2/9)^0.9,0.5))</f>
        <v>1.5</v>
      </c>
    </row>
    <row r="6" spans="1:8" ht="43.5" x14ac:dyDescent="0.35">
      <c r="A6" s="1" t="s">
        <v>5</v>
      </c>
      <c r="B6" s="3">
        <v>1000</v>
      </c>
      <c r="C6" s="3">
        <v>1000</v>
      </c>
      <c r="D6" s="3">
        <f>MAX(0.5,MROUND(Sheet3!$M$2*(Sheet3!$B6/9)^1.1*(Sheet3!G$2/9)^0.9,0.5))</f>
        <v>8</v>
      </c>
      <c r="E6" s="3">
        <f>MAX(0.5,MROUND(Sheet3!$M$2*(Sheet3!$B6/9)^1.1*(Sheet3!H$2/9)^0.9,0.5))</f>
        <v>5</v>
      </c>
      <c r="F6" s="3">
        <f>MAX(0.5,MROUND(Sheet3!$M$2*(Sheet3!$B6/9)^1.1*(Sheet3!I$2/9)^0.9,0.5))</f>
        <v>5</v>
      </c>
      <c r="G6" s="3">
        <v>1000</v>
      </c>
      <c r="H6" s="3">
        <f>MAX(0.5,MROUND(Sheet3!$M$2*(Sheet3!$B6/9)^1.1*(Sheet3!K$2/9)^0.9,0.5))</f>
        <v>3.5</v>
      </c>
    </row>
    <row r="7" spans="1:8" ht="29" x14ac:dyDescent="0.35">
      <c r="A7" s="1" t="s">
        <v>4</v>
      </c>
      <c r="B7" s="3">
        <f>MAX(0.5,MROUND(Sheet3!$M$2*(Sheet3!$B7/9)^1.1*(Sheet3!E$2/9)^0.9,0.5))</f>
        <v>10.5</v>
      </c>
      <c r="C7" s="3">
        <f>MAX(0.5,MROUND(Sheet3!$M$2*(Sheet3!$B7/9)^1.1*(Sheet3!F$2/9)^0.9,0.5))</f>
        <v>9.5</v>
      </c>
      <c r="D7" s="3">
        <f>MAX(0.5,MROUND(Sheet3!$M$2*(Sheet3!$B7/9)^1.1*(Sheet3!G$2/9)^0.9,0.5))</f>
        <v>6.5</v>
      </c>
      <c r="E7" s="3">
        <f>MAX(0.5,MROUND(Sheet3!$M$2*(Sheet3!$B7/9)^1.1*(Sheet3!H$2/9)^0.9,0.5))</f>
        <v>4</v>
      </c>
      <c r="F7" s="3">
        <f>MAX(0.5,MROUND(Sheet3!$M$2*(Sheet3!$B7/9)^1.1*(Sheet3!I$2/9)^0.9,0.5))</f>
        <v>4</v>
      </c>
      <c r="G7" s="3">
        <f>MAX(0.5,MROUND(Sheet3!$M$2*(Sheet3!$B7/9)^1.1*(Sheet3!J$2/9)^0.9,0.5))</f>
        <v>8.5</v>
      </c>
      <c r="H7" s="3">
        <f>MAX(0.5,MROUND(Sheet3!$M$2*(Sheet3!$B7/9)^1.1*(Sheet3!K$2/9)^0.9,0.5))</f>
        <v>2.5</v>
      </c>
    </row>
    <row r="8" spans="1:8" ht="43.5" x14ac:dyDescent="0.35">
      <c r="A8" s="1" t="s">
        <v>6</v>
      </c>
      <c r="B8" s="3">
        <f>MAX(0.5,MROUND(Sheet3!$M$2*(Sheet3!$B8/9)^1.1*(Sheet3!E$2/9)^0.9,0.5))</f>
        <v>2.5</v>
      </c>
      <c r="C8" s="3">
        <f>MAX(0.5,MROUND(Sheet3!$M$2*(Sheet3!$B8/9)^1.1*(Sheet3!F$2/9)^0.9,0.5))</f>
        <v>2.5</v>
      </c>
      <c r="D8" s="3">
        <f>MAX(0.5,MROUND(Sheet3!$M$2*(Sheet3!$B8/9)^1.1*(Sheet3!G$2/9)^0.9,0.5))</f>
        <v>1.5</v>
      </c>
      <c r="E8" s="3">
        <f>MAX(0.5,MROUND(Sheet3!$M$2*(Sheet3!$B8/9)^1.1*(Sheet3!H$2/9)^0.9,0.5))</f>
        <v>1</v>
      </c>
      <c r="F8" s="3">
        <f>MAX(0.5,MROUND(Sheet3!$M$2*(Sheet3!$B8/9)^1.1*(Sheet3!I$2/9)^0.9,0.5))</f>
        <v>1</v>
      </c>
      <c r="G8" s="3">
        <f>MAX(0.5,MROUND(Sheet3!$M$2*(Sheet3!$B8/9)^1.1*(Sheet3!J$2/9)^0.9,0.5))</f>
        <v>2</v>
      </c>
      <c r="H8" s="3">
        <f>MAX(0.5,MROUND(Sheet3!$M$2*(Sheet3!$B8/9)^1.1*(Sheet3!K$2/9)^0.9,0.5))</f>
        <v>0.5</v>
      </c>
    </row>
  </sheetData>
  <conditionalFormatting sqref="B2:H5 B7:H8 D6:F6 H6">
    <cfRule type="colorScale" priority="1">
      <colorScale>
        <cfvo type="min"/>
        <cfvo type="percentile" val="50"/>
        <cfvo type="max"/>
        <color rgb="FF00B050"/>
        <color rgb="FFFFFF00"/>
        <color rgb="FFFF00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2E039-453E-4BA0-B8E7-6D0359B1A4AA}">
  <dimension ref="B1:D83"/>
  <sheetViews>
    <sheetView tabSelected="1" workbookViewId="0">
      <selection activeCell="B1" sqref="B1:C1048576"/>
    </sheetView>
  </sheetViews>
  <sheetFormatPr defaultRowHeight="14.5" x14ac:dyDescent="0.35"/>
  <sheetData>
    <row r="1" spans="2:4" x14ac:dyDescent="0.35">
      <c r="B1">
        <v>0</v>
      </c>
      <c r="C1">
        <f>30.1+(33.7-30.1)*B1/82000</f>
        <v>30.1</v>
      </c>
      <c r="D1">
        <f>20000*B1/82000</f>
        <v>0</v>
      </c>
    </row>
    <row r="2" spans="2:4" x14ac:dyDescent="0.35">
      <c r="B2">
        <v>1000</v>
      </c>
      <c r="C2">
        <f t="shared" ref="C2:C65" si="0">30.1+(33.7-30.1)*B2/82000</f>
        <v>30.143902439024391</v>
      </c>
      <c r="D2">
        <f t="shared" ref="D2:D65" si="1">20000*B2/82000</f>
        <v>243.90243902439025</v>
      </c>
    </row>
    <row r="3" spans="2:4" x14ac:dyDescent="0.35">
      <c r="B3">
        <v>2000</v>
      </c>
      <c r="C3">
        <f t="shared" si="0"/>
        <v>30.18780487804878</v>
      </c>
      <c r="D3">
        <f t="shared" si="1"/>
        <v>487.80487804878049</v>
      </c>
    </row>
    <row r="4" spans="2:4" x14ac:dyDescent="0.35">
      <c r="B4">
        <v>3000</v>
      </c>
      <c r="C4">
        <f t="shared" si="0"/>
        <v>30.231707317073173</v>
      </c>
      <c r="D4">
        <f t="shared" si="1"/>
        <v>731.70731707317077</v>
      </c>
    </row>
    <row r="5" spans="2:4" x14ac:dyDescent="0.35">
      <c r="B5">
        <v>4000</v>
      </c>
      <c r="C5">
        <f t="shared" si="0"/>
        <v>30.275609756097563</v>
      </c>
      <c r="D5">
        <f t="shared" si="1"/>
        <v>975.60975609756099</v>
      </c>
    </row>
    <row r="6" spans="2:4" x14ac:dyDescent="0.35">
      <c r="B6">
        <v>5000</v>
      </c>
      <c r="C6">
        <f t="shared" si="0"/>
        <v>30.319512195121952</v>
      </c>
      <c r="D6">
        <f t="shared" si="1"/>
        <v>1219.5121951219512</v>
      </c>
    </row>
    <row r="7" spans="2:4" x14ac:dyDescent="0.35">
      <c r="B7">
        <v>6000</v>
      </c>
      <c r="C7">
        <f t="shared" si="0"/>
        <v>30.363414634146341</v>
      </c>
      <c r="D7">
        <f t="shared" si="1"/>
        <v>1463.4146341463415</v>
      </c>
    </row>
    <row r="8" spans="2:4" x14ac:dyDescent="0.35">
      <c r="B8">
        <v>7000</v>
      </c>
      <c r="C8">
        <f t="shared" si="0"/>
        <v>30.407317073170734</v>
      </c>
      <c r="D8">
        <f t="shared" si="1"/>
        <v>1707.3170731707316</v>
      </c>
    </row>
    <row r="9" spans="2:4" x14ac:dyDescent="0.35">
      <c r="B9">
        <v>8000</v>
      </c>
      <c r="C9">
        <f t="shared" si="0"/>
        <v>30.451219512195124</v>
      </c>
      <c r="D9">
        <f t="shared" si="1"/>
        <v>1951.219512195122</v>
      </c>
    </row>
    <row r="10" spans="2:4" x14ac:dyDescent="0.35">
      <c r="B10">
        <v>9000</v>
      </c>
      <c r="C10">
        <f t="shared" si="0"/>
        <v>30.495121951219513</v>
      </c>
      <c r="D10">
        <f t="shared" si="1"/>
        <v>2195.1219512195121</v>
      </c>
    </row>
    <row r="11" spans="2:4" x14ac:dyDescent="0.35">
      <c r="B11">
        <v>10000</v>
      </c>
      <c r="C11">
        <f t="shared" si="0"/>
        <v>30.539024390243902</v>
      </c>
      <c r="D11">
        <f t="shared" si="1"/>
        <v>2439.0243902439024</v>
      </c>
    </row>
    <row r="12" spans="2:4" x14ac:dyDescent="0.35">
      <c r="B12">
        <v>11000</v>
      </c>
      <c r="C12">
        <f t="shared" si="0"/>
        <v>30.582926829268295</v>
      </c>
      <c r="D12">
        <f t="shared" si="1"/>
        <v>2682.9268292682927</v>
      </c>
    </row>
    <row r="13" spans="2:4" x14ac:dyDescent="0.35">
      <c r="B13">
        <v>12000</v>
      </c>
      <c r="C13">
        <f t="shared" si="0"/>
        <v>30.626829268292685</v>
      </c>
      <c r="D13">
        <f t="shared" si="1"/>
        <v>2926.8292682926831</v>
      </c>
    </row>
    <row r="14" spans="2:4" x14ac:dyDescent="0.35">
      <c r="B14">
        <v>13000</v>
      </c>
      <c r="C14">
        <f t="shared" si="0"/>
        <v>30.670731707317074</v>
      </c>
      <c r="D14">
        <f t="shared" si="1"/>
        <v>3170.731707317073</v>
      </c>
    </row>
    <row r="15" spans="2:4" x14ac:dyDescent="0.35">
      <c r="B15">
        <v>14000</v>
      </c>
      <c r="C15">
        <f t="shared" si="0"/>
        <v>30.714634146341464</v>
      </c>
      <c r="D15">
        <f t="shared" si="1"/>
        <v>3414.6341463414633</v>
      </c>
    </row>
    <row r="16" spans="2:4" x14ac:dyDescent="0.35">
      <c r="B16">
        <v>15000</v>
      </c>
      <c r="C16">
        <f t="shared" si="0"/>
        <v>30.758536585365857</v>
      </c>
      <c r="D16">
        <f t="shared" si="1"/>
        <v>3658.5365853658536</v>
      </c>
    </row>
    <row r="17" spans="2:4" x14ac:dyDescent="0.35">
      <c r="B17">
        <v>16000</v>
      </c>
      <c r="C17">
        <f t="shared" si="0"/>
        <v>30.802439024390246</v>
      </c>
      <c r="D17">
        <f t="shared" si="1"/>
        <v>3902.439024390244</v>
      </c>
    </row>
    <row r="18" spans="2:4" x14ac:dyDescent="0.35">
      <c r="B18">
        <v>17000</v>
      </c>
      <c r="C18">
        <f t="shared" si="0"/>
        <v>30.846341463414635</v>
      </c>
      <c r="D18">
        <f t="shared" si="1"/>
        <v>4146.3414634146338</v>
      </c>
    </row>
    <row r="19" spans="2:4" x14ac:dyDescent="0.35">
      <c r="B19">
        <v>18000</v>
      </c>
      <c r="C19">
        <f t="shared" si="0"/>
        <v>30.890243902439025</v>
      </c>
      <c r="D19">
        <f t="shared" si="1"/>
        <v>4390.2439024390242</v>
      </c>
    </row>
    <row r="20" spans="2:4" x14ac:dyDescent="0.35">
      <c r="B20">
        <v>19000</v>
      </c>
      <c r="C20">
        <f t="shared" si="0"/>
        <v>30.934146341463418</v>
      </c>
      <c r="D20">
        <f t="shared" si="1"/>
        <v>4634.1463414634145</v>
      </c>
    </row>
    <row r="21" spans="2:4" x14ac:dyDescent="0.35">
      <c r="B21">
        <v>20000</v>
      </c>
      <c r="C21">
        <f t="shared" si="0"/>
        <v>30.978048780487807</v>
      </c>
      <c r="D21">
        <f t="shared" si="1"/>
        <v>4878.0487804878048</v>
      </c>
    </row>
    <row r="22" spans="2:4" x14ac:dyDescent="0.35">
      <c r="B22">
        <v>21000</v>
      </c>
      <c r="C22">
        <f t="shared" si="0"/>
        <v>31.021951219512196</v>
      </c>
      <c r="D22">
        <f t="shared" si="1"/>
        <v>5121.9512195121952</v>
      </c>
    </row>
    <row r="23" spans="2:4" x14ac:dyDescent="0.35">
      <c r="B23">
        <v>22000</v>
      </c>
      <c r="C23">
        <f t="shared" si="0"/>
        <v>31.065853658536586</v>
      </c>
      <c r="D23">
        <f t="shared" si="1"/>
        <v>5365.8536585365855</v>
      </c>
    </row>
    <row r="24" spans="2:4" x14ac:dyDescent="0.35">
      <c r="B24">
        <v>23000</v>
      </c>
      <c r="C24">
        <f t="shared" si="0"/>
        <v>31.109756097560979</v>
      </c>
      <c r="D24">
        <f t="shared" si="1"/>
        <v>5609.7560975609758</v>
      </c>
    </row>
    <row r="25" spans="2:4" x14ac:dyDescent="0.35">
      <c r="B25">
        <v>24000</v>
      </c>
      <c r="C25">
        <f t="shared" si="0"/>
        <v>31.153658536585368</v>
      </c>
      <c r="D25">
        <f t="shared" si="1"/>
        <v>5853.6585365853662</v>
      </c>
    </row>
    <row r="26" spans="2:4" x14ac:dyDescent="0.35">
      <c r="B26">
        <v>25000</v>
      </c>
      <c r="C26">
        <f t="shared" si="0"/>
        <v>31.197560975609758</v>
      </c>
      <c r="D26">
        <f t="shared" si="1"/>
        <v>6097.5609756097565</v>
      </c>
    </row>
    <row r="27" spans="2:4" x14ac:dyDescent="0.35">
      <c r="B27">
        <v>26000</v>
      </c>
      <c r="C27">
        <f t="shared" si="0"/>
        <v>31.241463414634147</v>
      </c>
      <c r="D27">
        <f t="shared" si="1"/>
        <v>6341.4634146341459</v>
      </c>
    </row>
    <row r="28" spans="2:4" x14ac:dyDescent="0.35">
      <c r="B28">
        <v>27000</v>
      </c>
      <c r="C28">
        <f t="shared" si="0"/>
        <v>31.28536585365854</v>
      </c>
      <c r="D28">
        <f t="shared" si="1"/>
        <v>6585.3658536585363</v>
      </c>
    </row>
    <row r="29" spans="2:4" x14ac:dyDescent="0.35">
      <c r="B29">
        <v>28000</v>
      </c>
      <c r="C29">
        <f t="shared" si="0"/>
        <v>31.329268292682929</v>
      </c>
      <c r="D29">
        <f t="shared" si="1"/>
        <v>6829.2682926829266</v>
      </c>
    </row>
    <row r="30" spans="2:4" x14ac:dyDescent="0.35">
      <c r="B30">
        <v>29000</v>
      </c>
      <c r="C30">
        <f t="shared" si="0"/>
        <v>31.373170731707319</v>
      </c>
      <c r="D30">
        <f t="shared" si="1"/>
        <v>7073.1707317073169</v>
      </c>
    </row>
    <row r="31" spans="2:4" x14ac:dyDescent="0.35">
      <c r="B31">
        <v>30000</v>
      </c>
      <c r="C31">
        <f t="shared" si="0"/>
        <v>31.417073170731708</v>
      </c>
      <c r="D31">
        <f t="shared" si="1"/>
        <v>7317.0731707317073</v>
      </c>
    </row>
    <row r="32" spans="2:4" x14ac:dyDescent="0.35">
      <c r="B32">
        <v>31000</v>
      </c>
      <c r="C32">
        <f t="shared" si="0"/>
        <v>31.460975609756101</v>
      </c>
      <c r="D32">
        <f t="shared" si="1"/>
        <v>7560.9756097560976</v>
      </c>
    </row>
    <row r="33" spans="2:4" x14ac:dyDescent="0.35">
      <c r="B33">
        <v>32000</v>
      </c>
      <c r="C33">
        <f t="shared" si="0"/>
        <v>31.50487804878049</v>
      </c>
      <c r="D33">
        <f t="shared" si="1"/>
        <v>7804.8780487804879</v>
      </c>
    </row>
    <row r="34" spans="2:4" x14ac:dyDescent="0.35">
      <c r="B34">
        <v>33000</v>
      </c>
      <c r="C34">
        <f t="shared" si="0"/>
        <v>31.54878048780488</v>
      </c>
      <c r="D34">
        <f t="shared" si="1"/>
        <v>8048.7804878048782</v>
      </c>
    </row>
    <row r="35" spans="2:4" x14ac:dyDescent="0.35">
      <c r="B35">
        <v>34000</v>
      </c>
      <c r="C35">
        <f t="shared" si="0"/>
        <v>31.592682926829269</v>
      </c>
      <c r="D35">
        <f t="shared" si="1"/>
        <v>8292.6829268292677</v>
      </c>
    </row>
    <row r="36" spans="2:4" x14ac:dyDescent="0.35">
      <c r="B36">
        <v>35000</v>
      </c>
      <c r="C36">
        <f t="shared" si="0"/>
        <v>31.636585365853662</v>
      </c>
      <c r="D36">
        <f t="shared" si="1"/>
        <v>8536.585365853658</v>
      </c>
    </row>
    <row r="37" spans="2:4" x14ac:dyDescent="0.35">
      <c r="B37">
        <v>36000</v>
      </c>
      <c r="C37">
        <f t="shared" si="0"/>
        <v>31.680487804878052</v>
      </c>
      <c r="D37">
        <f t="shared" si="1"/>
        <v>8780.4878048780483</v>
      </c>
    </row>
    <row r="38" spans="2:4" x14ac:dyDescent="0.35">
      <c r="B38">
        <v>37000</v>
      </c>
      <c r="C38">
        <f t="shared" si="0"/>
        <v>31.724390243902441</v>
      </c>
      <c r="D38">
        <f t="shared" si="1"/>
        <v>9024.3902439024387</v>
      </c>
    </row>
    <row r="39" spans="2:4" x14ac:dyDescent="0.35">
      <c r="B39">
        <v>38000</v>
      </c>
      <c r="C39">
        <f t="shared" si="0"/>
        <v>31.76829268292683</v>
      </c>
      <c r="D39">
        <f t="shared" si="1"/>
        <v>9268.292682926829</v>
      </c>
    </row>
    <row r="40" spans="2:4" x14ac:dyDescent="0.35">
      <c r="B40">
        <v>39000</v>
      </c>
      <c r="C40">
        <f t="shared" si="0"/>
        <v>31.81219512195122</v>
      </c>
      <c r="D40">
        <f t="shared" si="1"/>
        <v>9512.1951219512193</v>
      </c>
    </row>
    <row r="41" spans="2:4" x14ac:dyDescent="0.35">
      <c r="B41">
        <v>40000</v>
      </c>
      <c r="C41">
        <f t="shared" si="0"/>
        <v>31.856097560975613</v>
      </c>
      <c r="D41">
        <f t="shared" si="1"/>
        <v>9756.0975609756097</v>
      </c>
    </row>
    <row r="42" spans="2:4" x14ac:dyDescent="0.35">
      <c r="B42">
        <v>41000</v>
      </c>
      <c r="C42">
        <f t="shared" si="0"/>
        <v>31.900000000000002</v>
      </c>
      <c r="D42">
        <f t="shared" si="1"/>
        <v>10000</v>
      </c>
    </row>
    <row r="43" spans="2:4" x14ac:dyDescent="0.35">
      <c r="B43">
        <v>42000</v>
      </c>
      <c r="C43">
        <f t="shared" si="0"/>
        <v>31.943902439024392</v>
      </c>
      <c r="D43">
        <f t="shared" si="1"/>
        <v>10243.90243902439</v>
      </c>
    </row>
    <row r="44" spans="2:4" x14ac:dyDescent="0.35">
      <c r="B44">
        <v>43000</v>
      </c>
      <c r="C44">
        <f t="shared" si="0"/>
        <v>31.987804878048784</v>
      </c>
      <c r="D44">
        <f t="shared" si="1"/>
        <v>10487.804878048781</v>
      </c>
    </row>
    <row r="45" spans="2:4" x14ac:dyDescent="0.35">
      <c r="B45">
        <v>44000</v>
      </c>
      <c r="C45">
        <f t="shared" si="0"/>
        <v>32.03170731707317</v>
      </c>
      <c r="D45">
        <f t="shared" si="1"/>
        <v>10731.707317073171</v>
      </c>
    </row>
    <row r="46" spans="2:4" x14ac:dyDescent="0.35">
      <c r="B46">
        <v>45000</v>
      </c>
      <c r="C46">
        <f t="shared" si="0"/>
        <v>32.075609756097563</v>
      </c>
      <c r="D46">
        <f t="shared" si="1"/>
        <v>10975.609756097561</v>
      </c>
    </row>
    <row r="47" spans="2:4" x14ac:dyDescent="0.35">
      <c r="B47">
        <v>46000</v>
      </c>
      <c r="C47">
        <f t="shared" si="0"/>
        <v>32.119512195121956</v>
      </c>
      <c r="D47">
        <f t="shared" si="1"/>
        <v>11219.512195121952</v>
      </c>
    </row>
    <row r="48" spans="2:4" x14ac:dyDescent="0.35">
      <c r="B48">
        <v>47000</v>
      </c>
      <c r="C48">
        <f t="shared" si="0"/>
        <v>32.163414634146342</v>
      </c>
      <c r="D48">
        <f t="shared" si="1"/>
        <v>11463.414634146342</v>
      </c>
    </row>
    <row r="49" spans="2:4" x14ac:dyDescent="0.35">
      <c r="B49">
        <v>48000</v>
      </c>
      <c r="C49">
        <f t="shared" si="0"/>
        <v>32.207317073170735</v>
      </c>
      <c r="D49">
        <f t="shared" si="1"/>
        <v>11707.317073170732</v>
      </c>
    </row>
    <row r="50" spans="2:4" x14ac:dyDescent="0.35">
      <c r="B50">
        <v>49000</v>
      </c>
      <c r="C50">
        <f t="shared" si="0"/>
        <v>32.251219512195121</v>
      </c>
      <c r="D50">
        <f t="shared" si="1"/>
        <v>11951.219512195123</v>
      </c>
    </row>
    <row r="51" spans="2:4" x14ac:dyDescent="0.35">
      <c r="B51">
        <v>50000</v>
      </c>
      <c r="C51">
        <f t="shared" si="0"/>
        <v>32.295121951219514</v>
      </c>
      <c r="D51">
        <f t="shared" si="1"/>
        <v>12195.121951219513</v>
      </c>
    </row>
    <row r="52" spans="2:4" x14ac:dyDescent="0.35">
      <c r="B52">
        <v>51000</v>
      </c>
      <c r="C52">
        <f t="shared" si="0"/>
        <v>32.339024390243907</v>
      </c>
      <c r="D52">
        <f t="shared" si="1"/>
        <v>12439.024390243903</v>
      </c>
    </row>
    <row r="53" spans="2:4" x14ac:dyDescent="0.35">
      <c r="B53">
        <v>52000</v>
      </c>
      <c r="C53">
        <f t="shared" si="0"/>
        <v>32.382926829268293</v>
      </c>
      <c r="D53">
        <f t="shared" si="1"/>
        <v>12682.926829268292</v>
      </c>
    </row>
    <row r="54" spans="2:4" x14ac:dyDescent="0.35">
      <c r="B54">
        <v>53000</v>
      </c>
      <c r="C54">
        <f t="shared" si="0"/>
        <v>32.426829268292686</v>
      </c>
      <c r="D54">
        <f t="shared" si="1"/>
        <v>12926.829268292682</v>
      </c>
    </row>
    <row r="55" spans="2:4" x14ac:dyDescent="0.35">
      <c r="B55">
        <v>54000</v>
      </c>
      <c r="C55">
        <f t="shared" si="0"/>
        <v>32.470731707317078</v>
      </c>
      <c r="D55">
        <f t="shared" si="1"/>
        <v>13170.731707317073</v>
      </c>
    </row>
    <row r="56" spans="2:4" x14ac:dyDescent="0.35">
      <c r="B56">
        <v>55000</v>
      </c>
      <c r="C56">
        <f t="shared" si="0"/>
        <v>32.514634146341464</v>
      </c>
      <c r="D56">
        <f t="shared" si="1"/>
        <v>13414.634146341463</v>
      </c>
    </row>
    <row r="57" spans="2:4" x14ac:dyDescent="0.35">
      <c r="B57">
        <v>56000</v>
      </c>
      <c r="C57">
        <f t="shared" si="0"/>
        <v>32.558536585365857</v>
      </c>
      <c r="D57">
        <f t="shared" si="1"/>
        <v>13658.536585365853</v>
      </c>
    </row>
    <row r="58" spans="2:4" x14ac:dyDescent="0.35">
      <c r="B58">
        <v>57000</v>
      </c>
      <c r="C58">
        <f t="shared" si="0"/>
        <v>32.602439024390243</v>
      </c>
      <c r="D58">
        <f t="shared" si="1"/>
        <v>13902.439024390244</v>
      </c>
    </row>
    <row r="59" spans="2:4" x14ac:dyDescent="0.35">
      <c r="B59">
        <v>58000</v>
      </c>
      <c r="C59">
        <f t="shared" si="0"/>
        <v>32.646341463414636</v>
      </c>
      <c r="D59">
        <f t="shared" si="1"/>
        <v>14146.341463414634</v>
      </c>
    </row>
    <row r="60" spans="2:4" x14ac:dyDescent="0.35">
      <c r="B60">
        <v>59000</v>
      </c>
      <c r="C60">
        <f t="shared" si="0"/>
        <v>32.690243902439029</v>
      </c>
      <c r="D60">
        <f t="shared" si="1"/>
        <v>14390.243902439024</v>
      </c>
    </row>
    <row r="61" spans="2:4" x14ac:dyDescent="0.35">
      <c r="B61">
        <v>60000</v>
      </c>
      <c r="C61">
        <f t="shared" si="0"/>
        <v>32.734146341463415</v>
      </c>
      <c r="D61">
        <f t="shared" si="1"/>
        <v>14634.146341463415</v>
      </c>
    </row>
    <row r="62" spans="2:4" x14ac:dyDescent="0.35">
      <c r="B62">
        <v>61000</v>
      </c>
      <c r="C62">
        <f t="shared" si="0"/>
        <v>32.778048780487808</v>
      </c>
      <c r="D62">
        <f t="shared" si="1"/>
        <v>14878.048780487805</v>
      </c>
    </row>
    <row r="63" spans="2:4" x14ac:dyDescent="0.35">
      <c r="B63">
        <v>62000</v>
      </c>
      <c r="C63">
        <f t="shared" si="0"/>
        <v>32.821951219512201</v>
      </c>
      <c r="D63">
        <f t="shared" si="1"/>
        <v>15121.951219512195</v>
      </c>
    </row>
    <row r="64" spans="2:4" x14ac:dyDescent="0.35">
      <c r="B64">
        <v>63000</v>
      </c>
      <c r="C64">
        <f t="shared" si="0"/>
        <v>32.865853658536587</v>
      </c>
      <c r="D64">
        <f t="shared" si="1"/>
        <v>15365.853658536585</v>
      </c>
    </row>
    <row r="65" spans="2:4" x14ac:dyDescent="0.35">
      <c r="B65">
        <v>64000</v>
      </c>
      <c r="C65">
        <f t="shared" si="0"/>
        <v>32.90975609756098</v>
      </c>
      <c r="D65">
        <f t="shared" si="1"/>
        <v>15609.756097560976</v>
      </c>
    </row>
    <row r="66" spans="2:4" x14ac:dyDescent="0.35">
      <c r="B66">
        <v>65000</v>
      </c>
      <c r="C66">
        <f t="shared" ref="C66:C83" si="2">30.1+(33.7-30.1)*B66/82000</f>
        <v>32.953658536585365</v>
      </c>
      <c r="D66">
        <f t="shared" ref="D66:D83" si="3">20000*B66/82000</f>
        <v>15853.658536585366</v>
      </c>
    </row>
    <row r="67" spans="2:4" x14ac:dyDescent="0.35">
      <c r="B67">
        <v>66000</v>
      </c>
      <c r="C67">
        <f t="shared" si="2"/>
        <v>32.997560975609758</v>
      </c>
      <c r="D67">
        <f t="shared" si="3"/>
        <v>16097.560975609756</v>
      </c>
    </row>
    <row r="68" spans="2:4" x14ac:dyDescent="0.35">
      <c r="B68">
        <v>67000</v>
      </c>
      <c r="C68">
        <f t="shared" si="2"/>
        <v>33.041463414634151</v>
      </c>
      <c r="D68">
        <f t="shared" si="3"/>
        <v>16341.463414634147</v>
      </c>
    </row>
    <row r="69" spans="2:4" x14ac:dyDescent="0.35">
      <c r="B69">
        <v>68000</v>
      </c>
      <c r="C69">
        <f t="shared" si="2"/>
        <v>33.085365853658537</v>
      </c>
      <c r="D69">
        <f t="shared" si="3"/>
        <v>16585.365853658535</v>
      </c>
    </row>
    <row r="70" spans="2:4" x14ac:dyDescent="0.35">
      <c r="B70">
        <v>69000</v>
      </c>
      <c r="C70">
        <f t="shared" si="2"/>
        <v>33.12926829268293</v>
      </c>
      <c r="D70">
        <f t="shared" si="3"/>
        <v>16829.268292682926</v>
      </c>
    </row>
    <row r="71" spans="2:4" x14ac:dyDescent="0.35">
      <c r="B71">
        <v>70000</v>
      </c>
      <c r="C71">
        <f t="shared" si="2"/>
        <v>33.173170731707316</v>
      </c>
      <c r="D71">
        <f t="shared" si="3"/>
        <v>17073.170731707316</v>
      </c>
    </row>
    <row r="72" spans="2:4" x14ac:dyDescent="0.35">
      <c r="B72">
        <v>71000</v>
      </c>
      <c r="C72">
        <f t="shared" si="2"/>
        <v>33.217073170731709</v>
      </c>
      <c r="D72">
        <f t="shared" si="3"/>
        <v>17317.073170731706</v>
      </c>
    </row>
    <row r="73" spans="2:4" x14ac:dyDescent="0.35">
      <c r="B73">
        <v>72000</v>
      </c>
      <c r="C73">
        <f t="shared" si="2"/>
        <v>33.260975609756102</v>
      </c>
      <c r="D73">
        <f t="shared" si="3"/>
        <v>17560.975609756097</v>
      </c>
    </row>
    <row r="74" spans="2:4" x14ac:dyDescent="0.35">
      <c r="B74">
        <v>73000</v>
      </c>
      <c r="C74">
        <f t="shared" si="2"/>
        <v>33.304878048780488</v>
      </c>
      <c r="D74">
        <f t="shared" si="3"/>
        <v>17804.878048780487</v>
      </c>
    </row>
    <row r="75" spans="2:4" x14ac:dyDescent="0.35">
      <c r="B75">
        <v>74000</v>
      </c>
      <c r="C75">
        <f t="shared" si="2"/>
        <v>33.348780487804881</v>
      </c>
      <c r="D75">
        <f t="shared" si="3"/>
        <v>18048.780487804877</v>
      </c>
    </row>
    <row r="76" spans="2:4" x14ac:dyDescent="0.35">
      <c r="B76">
        <v>75000</v>
      </c>
      <c r="C76">
        <f t="shared" si="2"/>
        <v>33.392682926829274</v>
      </c>
      <c r="D76">
        <f t="shared" si="3"/>
        <v>18292.682926829268</v>
      </c>
    </row>
    <row r="77" spans="2:4" x14ac:dyDescent="0.35">
      <c r="B77">
        <v>76000</v>
      </c>
      <c r="C77">
        <f t="shared" si="2"/>
        <v>33.436585365853659</v>
      </c>
      <c r="D77">
        <f t="shared" si="3"/>
        <v>18536.585365853658</v>
      </c>
    </row>
    <row r="78" spans="2:4" x14ac:dyDescent="0.35">
      <c r="B78">
        <v>77000</v>
      </c>
      <c r="C78">
        <f t="shared" si="2"/>
        <v>33.480487804878052</v>
      </c>
      <c r="D78">
        <f t="shared" si="3"/>
        <v>18780.487804878048</v>
      </c>
    </row>
    <row r="79" spans="2:4" x14ac:dyDescent="0.35">
      <c r="B79">
        <v>78000</v>
      </c>
      <c r="C79">
        <f t="shared" si="2"/>
        <v>33.524390243902445</v>
      </c>
      <c r="D79">
        <f t="shared" si="3"/>
        <v>19024.390243902439</v>
      </c>
    </row>
    <row r="80" spans="2:4" x14ac:dyDescent="0.35">
      <c r="B80">
        <v>79000</v>
      </c>
      <c r="C80">
        <f t="shared" si="2"/>
        <v>33.568292682926831</v>
      </c>
      <c r="D80">
        <f t="shared" si="3"/>
        <v>19268.292682926829</v>
      </c>
    </row>
    <row r="81" spans="2:4" x14ac:dyDescent="0.35">
      <c r="B81">
        <v>80000</v>
      </c>
      <c r="C81">
        <f t="shared" si="2"/>
        <v>33.612195121951224</v>
      </c>
      <c r="D81">
        <f t="shared" si="3"/>
        <v>19512.195121951219</v>
      </c>
    </row>
    <row r="82" spans="2:4" x14ac:dyDescent="0.35">
      <c r="B82">
        <v>81000</v>
      </c>
      <c r="C82">
        <f t="shared" si="2"/>
        <v>33.65609756097561</v>
      </c>
      <c r="D82">
        <f t="shared" si="3"/>
        <v>19756.09756097561</v>
      </c>
    </row>
    <row r="83" spans="2:4" x14ac:dyDescent="0.35">
      <c r="B83">
        <v>82000</v>
      </c>
      <c r="C83">
        <f t="shared" si="2"/>
        <v>33.700000000000003</v>
      </c>
      <c r="D83">
        <f t="shared" si="3"/>
        <v>20000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cmds</vt:lpstr>
      <vt:lpstr>cmdList</vt:lpstr>
      <vt:lpstr>Sheet2</vt:lpstr>
      <vt:lpstr>Sheet3</vt:lpstr>
      <vt:lpstr>Matrix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Kristian Ødegaard</dc:creator>
  <cp:lastModifiedBy>Jan Kristian Ødegaard</cp:lastModifiedBy>
  <dcterms:created xsi:type="dcterms:W3CDTF">2026-03-16T11:39:47Z</dcterms:created>
  <dcterms:modified xsi:type="dcterms:W3CDTF">2026-04-15T12:19:35Z</dcterms:modified>
</cp:coreProperties>
</file>