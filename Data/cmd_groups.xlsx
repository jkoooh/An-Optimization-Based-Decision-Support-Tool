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6793ca4dc9d38df/Master/Finished GitHub/Data/"/>
    </mc:Choice>
  </mc:AlternateContent>
  <xr:revisionPtr revIDLastSave="312" documentId="8_{5697DC8C-9D7C-49C5-A05F-EA7283F863E5}" xr6:coauthVersionLast="47" xr6:coauthVersionMax="47" xr10:uidLastSave="{FB773B27-BB51-4DE9-8E67-E8B8A6068DEB}"/>
  <bookViews>
    <workbookView xWindow="-110" yWindow="-110" windowWidth="19420" windowHeight="10300" activeTab="3" xr2:uid="{FAB01BD8-8092-4382-B6A0-EB1996903308}"/>
  </bookViews>
  <sheets>
    <sheet name="cmds" sheetId="1" r:id="rId1"/>
    <sheet name="cmdList" sheetId="5" r:id="rId2"/>
    <sheet name="Sheet3" sheetId="3" r:id="rId3"/>
    <sheet name="Matr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4" l="1"/>
  <c r="B8" i="4"/>
  <c r="C8" i="4"/>
  <c r="D8" i="4"/>
  <c r="E8" i="4"/>
  <c r="F8" i="4"/>
  <c r="G8" i="4"/>
  <c r="H8" i="4"/>
  <c r="B3" i="4"/>
  <c r="C3" i="4"/>
  <c r="D3" i="4"/>
  <c r="E3" i="4"/>
  <c r="F3" i="4"/>
  <c r="G3" i="4"/>
  <c r="H3" i="4"/>
  <c r="B4" i="4"/>
  <c r="C4" i="4"/>
  <c r="D4" i="4"/>
  <c r="E4" i="4"/>
  <c r="F4" i="4"/>
  <c r="G4" i="4"/>
  <c r="H4" i="4"/>
  <c r="B5" i="4"/>
  <c r="C5" i="4"/>
  <c r="D5" i="4"/>
  <c r="E5" i="4"/>
  <c r="F5" i="4"/>
  <c r="G5" i="4"/>
  <c r="H5" i="4"/>
  <c r="D6" i="4"/>
  <c r="E6" i="4"/>
  <c r="F6" i="4"/>
  <c r="H6" i="4"/>
  <c r="B7" i="4"/>
  <c r="C7" i="4"/>
  <c r="D7" i="4"/>
  <c r="E7" i="4"/>
  <c r="F7" i="4"/>
  <c r="G7" i="4"/>
  <c r="H7" i="4"/>
  <c r="C2" i="4"/>
  <c r="D2" i="4"/>
  <c r="E2" i="4"/>
  <c r="F2" i="4"/>
  <c r="G2" i="4"/>
  <c r="H2" i="4"/>
</calcChain>
</file>

<file path=xl/sharedStrings.xml><?xml version="1.0" encoding="utf-8"?>
<sst xmlns="http://schemas.openxmlformats.org/spreadsheetml/2006/main" count="143" uniqueCount="15">
  <si>
    <t>Agri-bulk products</t>
  </si>
  <si>
    <t>Oils and refined fuels</t>
  </si>
  <si>
    <t>Industrial raw materials</t>
  </si>
  <si>
    <t>Mining and energy raw materials</t>
  </si>
  <si>
    <t>Chemicals &amp; fertilizers</t>
  </si>
  <si>
    <t>Crude oils &amp; coal products</t>
  </si>
  <si>
    <t>Intermediate industrial goods</t>
  </si>
  <si>
    <t>Maximum number of cleaning days</t>
  </si>
  <si>
    <t>Cleaning effort</t>
  </si>
  <si>
    <t xml:space="preserve">Sensitivity </t>
  </si>
  <si>
    <t>HS4</t>
  </si>
  <si>
    <t>Segment</t>
  </si>
  <si>
    <t>Bulk</t>
  </si>
  <si>
    <t>Tanker</t>
  </si>
  <si>
    <t>Ballast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</si>
</sst>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FAD78-7F37-4B6B-B411-ECEA046624CF}">
  <dimension ref="A1:G40"/>
  <sheetViews>
    <sheetView workbookViewId="0">
      <selection activeCell="F12" sqref="F12"/>
    </sheetView>
  </sheetViews>
  <sheetFormatPr defaultRowHeight="14.5" x14ac:dyDescent="0.35"/>
  <cols>
    <col min="1" max="1" width="15.54296875" bestFit="1" customWidth="1"/>
    <col min="2" max="2" width="17.81640625" bestFit="1" customWidth="1"/>
    <col min="3" max="3" width="19.81640625" bestFit="1" customWidth="1"/>
    <col min="4" max="4" width="26.81640625" bestFit="1" customWidth="1"/>
    <col min="5" max="5" width="21.1796875" bestFit="1" customWidth="1"/>
    <col min="6" max="6" width="19.08984375" bestFit="1" customWidth="1"/>
    <col min="7" max="7" width="20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5">
      <c r="A2">
        <v>1001</v>
      </c>
      <c r="B2">
        <v>1507</v>
      </c>
      <c r="C2">
        <v>2501</v>
      </c>
      <c r="D2">
        <v>2505</v>
      </c>
      <c r="E2">
        <v>2706</v>
      </c>
      <c r="F2">
        <v>2815</v>
      </c>
      <c r="G2">
        <v>4401</v>
      </c>
    </row>
    <row r="3" spans="1:7" x14ac:dyDescent="0.35">
      <c r="A3">
        <v>1002</v>
      </c>
      <c r="B3">
        <v>1511</v>
      </c>
      <c r="C3">
        <v>2503</v>
      </c>
      <c r="D3">
        <v>2506</v>
      </c>
      <c r="E3">
        <v>2707</v>
      </c>
      <c r="F3">
        <v>3101</v>
      </c>
      <c r="G3">
        <v>4403</v>
      </c>
    </row>
    <row r="4" spans="1:7" x14ac:dyDescent="0.35">
      <c r="A4">
        <v>1003</v>
      </c>
      <c r="B4">
        <v>1512</v>
      </c>
      <c r="C4">
        <v>2519</v>
      </c>
      <c r="D4">
        <v>2513</v>
      </c>
      <c r="E4">
        <v>2709</v>
      </c>
      <c r="F4">
        <v>3102</v>
      </c>
      <c r="G4">
        <v>4407</v>
      </c>
    </row>
    <row r="5" spans="1:7" x14ac:dyDescent="0.35">
      <c r="A5">
        <v>1004</v>
      </c>
      <c r="B5">
        <v>1513</v>
      </c>
      <c r="C5">
        <v>2520</v>
      </c>
      <c r="D5">
        <v>2517</v>
      </c>
      <c r="E5">
        <v>2713</v>
      </c>
      <c r="F5">
        <v>3103</v>
      </c>
      <c r="G5">
        <v>4701</v>
      </c>
    </row>
    <row r="6" spans="1:7" x14ac:dyDescent="0.35">
      <c r="A6">
        <v>1006</v>
      </c>
      <c r="B6">
        <v>1514</v>
      </c>
      <c r="C6">
        <v>2521</v>
      </c>
      <c r="D6">
        <v>2518</v>
      </c>
      <c r="E6">
        <v>2714</v>
      </c>
      <c r="F6">
        <v>3104</v>
      </c>
      <c r="G6">
        <v>4702</v>
      </c>
    </row>
    <row r="7" spans="1:7" x14ac:dyDescent="0.35">
      <c r="A7">
        <v>1007</v>
      </c>
      <c r="B7">
        <v>2710</v>
      </c>
      <c r="C7">
        <v>2522</v>
      </c>
      <c r="D7">
        <v>2528</v>
      </c>
      <c r="E7">
        <v>2715</v>
      </c>
      <c r="F7">
        <v>3105</v>
      </c>
      <c r="G7">
        <v>4703</v>
      </c>
    </row>
    <row r="8" spans="1:7" x14ac:dyDescent="0.35">
      <c r="A8">
        <v>1008</v>
      </c>
      <c r="B8">
        <v>3826</v>
      </c>
      <c r="C8">
        <v>2523</v>
      </c>
      <c r="D8">
        <v>2529</v>
      </c>
      <c r="G8">
        <v>4704</v>
      </c>
    </row>
    <row r="9" spans="1:7" x14ac:dyDescent="0.35">
      <c r="A9">
        <v>1201</v>
      </c>
      <c r="C9">
        <v>2508</v>
      </c>
      <c r="D9">
        <v>2530</v>
      </c>
      <c r="G9">
        <v>4705</v>
      </c>
    </row>
    <row r="10" spans="1:7" x14ac:dyDescent="0.35">
      <c r="A10">
        <v>1204</v>
      </c>
      <c r="C10">
        <v>2509</v>
      </c>
      <c r="D10">
        <v>2601</v>
      </c>
      <c r="G10">
        <v>4706</v>
      </c>
    </row>
    <row r="11" spans="1:7" x14ac:dyDescent="0.35">
      <c r="A11">
        <v>1205</v>
      </c>
      <c r="C11">
        <v>2510</v>
      </c>
      <c r="D11">
        <v>2602</v>
      </c>
      <c r="G11">
        <v>4707</v>
      </c>
    </row>
    <row r="12" spans="1:7" x14ac:dyDescent="0.35">
      <c r="A12">
        <v>1206</v>
      </c>
      <c r="C12">
        <v>2511</v>
      </c>
      <c r="D12">
        <v>2603</v>
      </c>
      <c r="G12">
        <v>7204</v>
      </c>
    </row>
    <row r="13" spans="1:7" x14ac:dyDescent="0.35">
      <c r="A13">
        <v>1207</v>
      </c>
      <c r="C13">
        <v>2818</v>
      </c>
      <c r="D13">
        <v>2604</v>
      </c>
      <c r="G13">
        <v>7206</v>
      </c>
    </row>
    <row r="14" spans="1:7" x14ac:dyDescent="0.35">
      <c r="A14">
        <v>1213</v>
      </c>
      <c r="C14">
        <v>7501</v>
      </c>
      <c r="D14">
        <v>2606</v>
      </c>
      <c r="G14">
        <v>7207</v>
      </c>
    </row>
    <row r="15" spans="1:7" x14ac:dyDescent="0.35">
      <c r="A15">
        <v>1701</v>
      </c>
      <c r="D15">
        <v>2607</v>
      </c>
      <c r="G15">
        <v>7208</v>
      </c>
    </row>
    <row r="16" spans="1:7" x14ac:dyDescent="0.35">
      <c r="A16">
        <v>2301</v>
      </c>
      <c r="D16">
        <v>2608</v>
      </c>
      <c r="G16">
        <v>7209</v>
      </c>
    </row>
    <row r="17" spans="4:7" x14ac:dyDescent="0.35">
      <c r="D17">
        <v>2614</v>
      </c>
      <c r="G17">
        <v>7210</v>
      </c>
    </row>
    <row r="18" spans="4:7" x14ac:dyDescent="0.35">
      <c r="D18">
        <v>2618</v>
      </c>
      <c r="G18">
        <v>7211</v>
      </c>
    </row>
    <row r="19" spans="4:7" x14ac:dyDescent="0.35">
      <c r="D19">
        <v>2619</v>
      </c>
      <c r="G19">
        <v>7212</v>
      </c>
    </row>
    <row r="20" spans="4:7" x14ac:dyDescent="0.35">
      <c r="D20">
        <v>2620</v>
      </c>
      <c r="G20">
        <v>7213</v>
      </c>
    </row>
    <row r="21" spans="4:7" x14ac:dyDescent="0.35">
      <c r="D21">
        <v>2701</v>
      </c>
      <c r="G21">
        <v>7214</v>
      </c>
    </row>
    <row r="22" spans="4:7" x14ac:dyDescent="0.35">
      <c r="D22">
        <v>2702</v>
      </c>
      <c r="G22">
        <v>7215</v>
      </c>
    </row>
    <row r="23" spans="4:7" x14ac:dyDescent="0.35">
      <c r="D23">
        <v>2703</v>
      </c>
      <c r="G23">
        <v>7216</v>
      </c>
    </row>
    <row r="24" spans="4:7" x14ac:dyDescent="0.35">
      <c r="D24">
        <v>2803</v>
      </c>
      <c r="G24">
        <v>7217</v>
      </c>
    </row>
    <row r="25" spans="4:7" x14ac:dyDescent="0.35">
      <c r="D25">
        <v>7201</v>
      </c>
      <c r="G25">
        <v>7218</v>
      </c>
    </row>
    <row r="26" spans="4:7" x14ac:dyDescent="0.35">
      <c r="D26">
        <v>7202</v>
      </c>
      <c r="G26">
        <v>7219</v>
      </c>
    </row>
    <row r="27" spans="4:7" x14ac:dyDescent="0.35">
      <c r="D27">
        <v>7203</v>
      </c>
      <c r="G27">
        <v>7220</v>
      </c>
    </row>
    <row r="28" spans="4:7" x14ac:dyDescent="0.35">
      <c r="G28">
        <v>7221</v>
      </c>
    </row>
    <row r="29" spans="4:7" x14ac:dyDescent="0.35">
      <c r="G29">
        <v>7222</v>
      </c>
    </row>
    <row r="30" spans="4:7" x14ac:dyDescent="0.35">
      <c r="G30">
        <v>7223</v>
      </c>
    </row>
    <row r="31" spans="4:7" x14ac:dyDescent="0.35">
      <c r="G31">
        <v>7224</v>
      </c>
    </row>
    <row r="32" spans="4:7" x14ac:dyDescent="0.35">
      <c r="G32">
        <v>7225</v>
      </c>
    </row>
    <row r="33" spans="7:7" x14ac:dyDescent="0.35">
      <c r="G33">
        <v>7226</v>
      </c>
    </row>
    <row r="34" spans="7:7" x14ac:dyDescent="0.35">
      <c r="G34">
        <v>7227</v>
      </c>
    </row>
    <row r="35" spans="7:7" x14ac:dyDescent="0.35">
      <c r="G35">
        <v>7228</v>
      </c>
    </row>
    <row r="36" spans="7:7" x14ac:dyDescent="0.35">
      <c r="G36">
        <v>7229</v>
      </c>
    </row>
    <row r="37" spans="7:7" x14ac:dyDescent="0.35">
      <c r="G37">
        <v>7301</v>
      </c>
    </row>
    <row r="38" spans="7:7" x14ac:dyDescent="0.35">
      <c r="G38">
        <v>7404</v>
      </c>
    </row>
    <row r="39" spans="7:7" x14ac:dyDescent="0.35">
      <c r="G39">
        <v>7601</v>
      </c>
    </row>
    <row r="40" spans="7:7" x14ac:dyDescent="0.35">
      <c r="G40">
        <v>7602</v>
      </c>
    </row>
  </sheetData>
  <conditionalFormatting sqref="A2:G4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1801-EF69-4C36-AE90-4DCB21594C37}">
  <dimension ref="A1:B104"/>
  <sheetViews>
    <sheetView workbookViewId="0">
      <selection activeCell="M47" sqref="M47"/>
    </sheetView>
  </sheetViews>
  <sheetFormatPr defaultRowHeight="14.5" x14ac:dyDescent="0.35"/>
  <sheetData>
    <row r="1" spans="1:2" x14ac:dyDescent="0.35">
      <c r="A1" t="s">
        <v>11</v>
      </c>
      <c r="B1" t="s">
        <v>10</v>
      </c>
    </row>
    <row r="2" spans="1:2" x14ac:dyDescent="0.35">
      <c r="A2" t="s">
        <v>12</v>
      </c>
      <c r="B2">
        <v>1001</v>
      </c>
    </row>
    <row r="3" spans="1:2" x14ac:dyDescent="0.35">
      <c r="A3" t="s">
        <v>12</v>
      </c>
      <c r="B3">
        <v>1002</v>
      </c>
    </row>
    <row r="4" spans="1:2" x14ac:dyDescent="0.35">
      <c r="A4" t="s">
        <v>12</v>
      </c>
      <c r="B4">
        <v>1003</v>
      </c>
    </row>
    <row r="5" spans="1:2" x14ac:dyDescent="0.35">
      <c r="A5" t="s">
        <v>12</v>
      </c>
      <c r="B5">
        <v>1004</v>
      </c>
    </row>
    <row r="6" spans="1:2" x14ac:dyDescent="0.35">
      <c r="A6" t="s">
        <v>12</v>
      </c>
      <c r="B6">
        <v>1006</v>
      </c>
    </row>
    <row r="7" spans="1:2" x14ac:dyDescent="0.35">
      <c r="A7" t="s">
        <v>12</v>
      </c>
      <c r="B7">
        <v>1007</v>
      </c>
    </row>
    <row r="8" spans="1:2" x14ac:dyDescent="0.35">
      <c r="A8" t="s">
        <v>12</v>
      </c>
      <c r="B8">
        <v>1008</v>
      </c>
    </row>
    <row r="9" spans="1:2" x14ac:dyDescent="0.35">
      <c r="A9" t="s">
        <v>12</v>
      </c>
      <c r="B9">
        <v>1201</v>
      </c>
    </row>
    <row r="10" spans="1:2" x14ac:dyDescent="0.35">
      <c r="A10" t="s">
        <v>12</v>
      </c>
      <c r="B10">
        <v>1204</v>
      </c>
    </row>
    <row r="11" spans="1:2" x14ac:dyDescent="0.35">
      <c r="A11" t="s">
        <v>12</v>
      </c>
      <c r="B11">
        <v>1205</v>
      </c>
    </row>
    <row r="12" spans="1:2" x14ac:dyDescent="0.35">
      <c r="A12" t="s">
        <v>12</v>
      </c>
      <c r="B12">
        <v>1206</v>
      </c>
    </row>
    <row r="13" spans="1:2" x14ac:dyDescent="0.35">
      <c r="A13" t="s">
        <v>12</v>
      </c>
      <c r="B13">
        <v>1207</v>
      </c>
    </row>
    <row r="14" spans="1:2" x14ac:dyDescent="0.35">
      <c r="A14" t="s">
        <v>12</v>
      </c>
      <c r="B14">
        <v>1213</v>
      </c>
    </row>
    <row r="15" spans="1:2" x14ac:dyDescent="0.35">
      <c r="A15" t="s">
        <v>12</v>
      </c>
      <c r="B15">
        <v>1701</v>
      </c>
    </row>
    <row r="16" spans="1:2" x14ac:dyDescent="0.35">
      <c r="A16" t="s">
        <v>12</v>
      </c>
      <c r="B16">
        <v>2301</v>
      </c>
    </row>
    <row r="17" spans="1:2" x14ac:dyDescent="0.35">
      <c r="A17" t="s">
        <v>13</v>
      </c>
      <c r="B17">
        <v>1507</v>
      </c>
    </row>
    <row r="18" spans="1:2" x14ac:dyDescent="0.35">
      <c r="A18" t="s">
        <v>13</v>
      </c>
      <c r="B18">
        <v>1511</v>
      </c>
    </row>
    <row r="19" spans="1:2" x14ac:dyDescent="0.35">
      <c r="A19" t="s">
        <v>13</v>
      </c>
      <c r="B19">
        <v>1512</v>
      </c>
    </row>
    <row r="20" spans="1:2" x14ac:dyDescent="0.35">
      <c r="A20" t="s">
        <v>13</v>
      </c>
      <c r="B20">
        <v>1513</v>
      </c>
    </row>
    <row r="21" spans="1:2" x14ac:dyDescent="0.35">
      <c r="A21" t="s">
        <v>13</v>
      </c>
      <c r="B21">
        <v>1514</v>
      </c>
    </row>
    <row r="22" spans="1:2" x14ac:dyDescent="0.35">
      <c r="A22" t="s">
        <v>13</v>
      </c>
      <c r="B22">
        <v>2710</v>
      </c>
    </row>
    <row r="23" spans="1:2" x14ac:dyDescent="0.35">
      <c r="A23" t="s">
        <v>13</v>
      </c>
      <c r="B23">
        <v>3826</v>
      </c>
    </row>
    <row r="24" spans="1:2" x14ac:dyDescent="0.35">
      <c r="A24" t="s">
        <v>12</v>
      </c>
      <c r="B24">
        <v>2501</v>
      </c>
    </row>
    <row r="25" spans="1:2" x14ac:dyDescent="0.35">
      <c r="A25" t="s">
        <v>12</v>
      </c>
      <c r="B25">
        <v>2503</v>
      </c>
    </row>
    <row r="26" spans="1:2" x14ac:dyDescent="0.35">
      <c r="A26" t="s">
        <v>12</v>
      </c>
      <c r="B26">
        <v>2519</v>
      </c>
    </row>
    <row r="27" spans="1:2" x14ac:dyDescent="0.35">
      <c r="A27" t="s">
        <v>12</v>
      </c>
      <c r="B27">
        <v>2520</v>
      </c>
    </row>
    <row r="28" spans="1:2" x14ac:dyDescent="0.35">
      <c r="A28" t="s">
        <v>12</v>
      </c>
      <c r="B28">
        <v>2521</v>
      </c>
    </row>
    <row r="29" spans="1:2" x14ac:dyDescent="0.35">
      <c r="A29" t="s">
        <v>12</v>
      </c>
      <c r="B29">
        <v>2522</v>
      </c>
    </row>
    <row r="30" spans="1:2" x14ac:dyDescent="0.35">
      <c r="A30" t="s">
        <v>12</v>
      </c>
      <c r="B30">
        <v>2523</v>
      </c>
    </row>
    <row r="31" spans="1:2" x14ac:dyDescent="0.35">
      <c r="A31" t="s">
        <v>12</v>
      </c>
      <c r="B31">
        <v>2508</v>
      </c>
    </row>
    <row r="32" spans="1:2" x14ac:dyDescent="0.35">
      <c r="A32" t="s">
        <v>12</v>
      </c>
      <c r="B32">
        <v>2509</v>
      </c>
    </row>
    <row r="33" spans="1:2" x14ac:dyDescent="0.35">
      <c r="A33" t="s">
        <v>12</v>
      </c>
      <c r="B33">
        <v>2510</v>
      </c>
    </row>
    <row r="34" spans="1:2" x14ac:dyDescent="0.35">
      <c r="A34" t="s">
        <v>12</v>
      </c>
      <c r="B34">
        <v>2511</v>
      </c>
    </row>
    <row r="35" spans="1:2" x14ac:dyDescent="0.35">
      <c r="A35" t="s">
        <v>12</v>
      </c>
      <c r="B35">
        <v>2818</v>
      </c>
    </row>
    <row r="36" spans="1:2" x14ac:dyDescent="0.35">
      <c r="A36" t="s">
        <v>12</v>
      </c>
      <c r="B36">
        <v>7501</v>
      </c>
    </row>
    <row r="37" spans="1:2" x14ac:dyDescent="0.35">
      <c r="A37" t="s">
        <v>12</v>
      </c>
      <c r="B37">
        <v>2505</v>
      </c>
    </row>
    <row r="38" spans="1:2" x14ac:dyDescent="0.35">
      <c r="A38" t="s">
        <v>12</v>
      </c>
      <c r="B38">
        <v>2506</v>
      </c>
    </row>
    <row r="39" spans="1:2" x14ac:dyDescent="0.35">
      <c r="A39" t="s">
        <v>12</v>
      </c>
      <c r="B39">
        <v>2513</v>
      </c>
    </row>
    <row r="40" spans="1:2" x14ac:dyDescent="0.35">
      <c r="A40" t="s">
        <v>12</v>
      </c>
      <c r="B40">
        <v>2517</v>
      </c>
    </row>
    <row r="41" spans="1:2" x14ac:dyDescent="0.35">
      <c r="A41" t="s">
        <v>12</v>
      </c>
      <c r="B41">
        <v>2518</v>
      </c>
    </row>
    <row r="42" spans="1:2" x14ac:dyDescent="0.35">
      <c r="A42" t="s">
        <v>12</v>
      </c>
      <c r="B42">
        <v>2528</v>
      </c>
    </row>
    <row r="43" spans="1:2" x14ac:dyDescent="0.35">
      <c r="A43" t="s">
        <v>12</v>
      </c>
      <c r="B43">
        <v>2529</v>
      </c>
    </row>
    <row r="44" spans="1:2" x14ac:dyDescent="0.35">
      <c r="A44" t="s">
        <v>12</v>
      </c>
      <c r="B44">
        <v>2530</v>
      </c>
    </row>
    <row r="45" spans="1:2" x14ac:dyDescent="0.35">
      <c r="A45" t="s">
        <v>12</v>
      </c>
      <c r="B45">
        <v>2601</v>
      </c>
    </row>
    <row r="46" spans="1:2" x14ac:dyDescent="0.35">
      <c r="A46" t="s">
        <v>12</v>
      </c>
      <c r="B46">
        <v>2602</v>
      </c>
    </row>
    <row r="47" spans="1:2" x14ac:dyDescent="0.35">
      <c r="A47" t="s">
        <v>12</v>
      </c>
      <c r="B47">
        <v>2603</v>
      </c>
    </row>
    <row r="48" spans="1:2" x14ac:dyDescent="0.35">
      <c r="A48" t="s">
        <v>12</v>
      </c>
      <c r="B48">
        <v>2604</v>
      </c>
    </row>
    <row r="49" spans="1:2" x14ac:dyDescent="0.35">
      <c r="A49" t="s">
        <v>12</v>
      </c>
      <c r="B49">
        <v>2606</v>
      </c>
    </row>
    <row r="50" spans="1:2" x14ac:dyDescent="0.35">
      <c r="A50" t="s">
        <v>12</v>
      </c>
      <c r="B50">
        <v>2607</v>
      </c>
    </row>
    <row r="51" spans="1:2" x14ac:dyDescent="0.35">
      <c r="A51" t="s">
        <v>12</v>
      </c>
      <c r="B51">
        <v>2608</v>
      </c>
    </row>
    <row r="52" spans="1:2" x14ac:dyDescent="0.35">
      <c r="A52" t="s">
        <v>12</v>
      </c>
      <c r="B52">
        <v>2614</v>
      </c>
    </row>
    <row r="53" spans="1:2" x14ac:dyDescent="0.35">
      <c r="A53" t="s">
        <v>12</v>
      </c>
      <c r="B53">
        <v>2618</v>
      </c>
    </row>
    <row r="54" spans="1:2" x14ac:dyDescent="0.35">
      <c r="A54" t="s">
        <v>12</v>
      </c>
      <c r="B54">
        <v>2620</v>
      </c>
    </row>
    <row r="55" spans="1:2" x14ac:dyDescent="0.35">
      <c r="A55" t="s">
        <v>12</v>
      </c>
      <c r="B55">
        <v>2701</v>
      </c>
    </row>
    <row r="56" spans="1:2" x14ac:dyDescent="0.35">
      <c r="A56" t="s">
        <v>12</v>
      </c>
      <c r="B56">
        <v>2702</v>
      </c>
    </row>
    <row r="57" spans="1:2" x14ac:dyDescent="0.35">
      <c r="A57" t="s">
        <v>12</v>
      </c>
      <c r="B57">
        <v>2703</v>
      </c>
    </row>
    <row r="58" spans="1:2" x14ac:dyDescent="0.35">
      <c r="A58" t="s">
        <v>12</v>
      </c>
      <c r="B58">
        <v>2803</v>
      </c>
    </row>
    <row r="59" spans="1:2" x14ac:dyDescent="0.35">
      <c r="A59" t="s">
        <v>12</v>
      </c>
      <c r="B59">
        <v>7201</v>
      </c>
    </row>
    <row r="60" spans="1:2" x14ac:dyDescent="0.35">
      <c r="A60" t="s">
        <v>12</v>
      </c>
      <c r="B60">
        <v>7202</v>
      </c>
    </row>
    <row r="61" spans="1:2" x14ac:dyDescent="0.35">
      <c r="A61" t="s">
        <v>12</v>
      </c>
      <c r="B61">
        <v>7203</v>
      </c>
    </row>
    <row r="62" spans="1:2" x14ac:dyDescent="0.35">
      <c r="A62" t="s">
        <v>12</v>
      </c>
      <c r="B62">
        <v>2713</v>
      </c>
    </row>
    <row r="63" spans="1:2" x14ac:dyDescent="0.35">
      <c r="A63" t="s">
        <v>13</v>
      </c>
      <c r="B63">
        <v>2815</v>
      </c>
    </row>
    <row r="64" spans="1:2" x14ac:dyDescent="0.35">
      <c r="A64" t="s">
        <v>12</v>
      </c>
      <c r="B64">
        <v>3101</v>
      </c>
    </row>
    <row r="65" spans="1:2" x14ac:dyDescent="0.35">
      <c r="A65" t="s">
        <v>12</v>
      </c>
      <c r="B65">
        <v>4401</v>
      </c>
    </row>
    <row r="66" spans="1:2" x14ac:dyDescent="0.35">
      <c r="A66" t="s">
        <v>12</v>
      </c>
      <c r="B66">
        <v>4403</v>
      </c>
    </row>
    <row r="67" spans="1:2" x14ac:dyDescent="0.35">
      <c r="A67" t="s">
        <v>12</v>
      </c>
      <c r="B67">
        <v>4407</v>
      </c>
    </row>
    <row r="68" spans="1:2" x14ac:dyDescent="0.35">
      <c r="A68" t="s">
        <v>12</v>
      </c>
      <c r="B68">
        <v>4701</v>
      </c>
    </row>
    <row r="69" spans="1:2" x14ac:dyDescent="0.35">
      <c r="A69" t="s">
        <v>12</v>
      </c>
      <c r="B69">
        <v>4702</v>
      </c>
    </row>
    <row r="70" spans="1:2" x14ac:dyDescent="0.35">
      <c r="A70" t="s">
        <v>12</v>
      </c>
      <c r="B70">
        <v>4703</v>
      </c>
    </row>
    <row r="71" spans="1:2" x14ac:dyDescent="0.35">
      <c r="A71" t="s">
        <v>12</v>
      </c>
      <c r="B71">
        <v>4704</v>
      </c>
    </row>
    <row r="72" spans="1:2" x14ac:dyDescent="0.35">
      <c r="A72" t="s">
        <v>12</v>
      </c>
      <c r="B72">
        <v>4705</v>
      </c>
    </row>
    <row r="73" spans="1:2" x14ac:dyDescent="0.35">
      <c r="A73" t="s">
        <v>12</v>
      </c>
      <c r="B73">
        <v>4706</v>
      </c>
    </row>
    <row r="74" spans="1:2" x14ac:dyDescent="0.35">
      <c r="A74" t="s">
        <v>12</v>
      </c>
      <c r="B74">
        <v>4707</v>
      </c>
    </row>
    <row r="75" spans="1:2" x14ac:dyDescent="0.35">
      <c r="A75" t="s">
        <v>12</v>
      </c>
      <c r="B75">
        <v>7204</v>
      </c>
    </row>
    <row r="76" spans="1:2" x14ac:dyDescent="0.35">
      <c r="A76" t="s">
        <v>12</v>
      </c>
      <c r="B76">
        <v>7206</v>
      </c>
    </row>
    <row r="77" spans="1:2" x14ac:dyDescent="0.35">
      <c r="A77" t="s">
        <v>12</v>
      </c>
      <c r="B77">
        <v>7207</v>
      </c>
    </row>
    <row r="78" spans="1:2" x14ac:dyDescent="0.35">
      <c r="A78" t="s">
        <v>12</v>
      </c>
      <c r="B78">
        <v>7208</v>
      </c>
    </row>
    <row r="79" spans="1:2" x14ac:dyDescent="0.35">
      <c r="A79" t="s">
        <v>12</v>
      </c>
      <c r="B79">
        <v>7209</v>
      </c>
    </row>
    <row r="80" spans="1:2" x14ac:dyDescent="0.35">
      <c r="A80" t="s">
        <v>12</v>
      </c>
      <c r="B80">
        <v>7210</v>
      </c>
    </row>
    <row r="81" spans="1:2" x14ac:dyDescent="0.35">
      <c r="A81" t="s">
        <v>12</v>
      </c>
      <c r="B81">
        <v>7211</v>
      </c>
    </row>
    <row r="82" spans="1:2" x14ac:dyDescent="0.35">
      <c r="A82" t="s">
        <v>12</v>
      </c>
      <c r="B82">
        <v>7212</v>
      </c>
    </row>
    <row r="83" spans="1:2" x14ac:dyDescent="0.35">
      <c r="A83" t="s">
        <v>12</v>
      </c>
      <c r="B83">
        <v>7213</v>
      </c>
    </row>
    <row r="84" spans="1:2" x14ac:dyDescent="0.35">
      <c r="A84" t="s">
        <v>12</v>
      </c>
      <c r="B84">
        <v>7214</v>
      </c>
    </row>
    <row r="85" spans="1:2" x14ac:dyDescent="0.35">
      <c r="A85" t="s">
        <v>12</v>
      </c>
      <c r="B85">
        <v>7215</v>
      </c>
    </row>
    <row r="86" spans="1:2" x14ac:dyDescent="0.35">
      <c r="A86" t="s">
        <v>12</v>
      </c>
      <c r="B86">
        <v>7216</v>
      </c>
    </row>
    <row r="87" spans="1:2" x14ac:dyDescent="0.35">
      <c r="A87" t="s">
        <v>12</v>
      </c>
      <c r="B87">
        <v>7217</v>
      </c>
    </row>
    <row r="88" spans="1:2" x14ac:dyDescent="0.35">
      <c r="A88" t="s">
        <v>12</v>
      </c>
      <c r="B88">
        <v>7218</v>
      </c>
    </row>
    <row r="89" spans="1:2" x14ac:dyDescent="0.35">
      <c r="A89" t="s">
        <v>12</v>
      </c>
      <c r="B89">
        <v>7219</v>
      </c>
    </row>
    <row r="90" spans="1:2" x14ac:dyDescent="0.35">
      <c r="A90" t="s">
        <v>12</v>
      </c>
      <c r="B90">
        <v>7220</v>
      </c>
    </row>
    <row r="91" spans="1:2" x14ac:dyDescent="0.35">
      <c r="A91" t="s">
        <v>12</v>
      </c>
      <c r="B91">
        <v>7221</v>
      </c>
    </row>
    <row r="92" spans="1:2" x14ac:dyDescent="0.35">
      <c r="A92" t="s">
        <v>12</v>
      </c>
      <c r="B92">
        <v>7222</v>
      </c>
    </row>
    <row r="93" spans="1:2" x14ac:dyDescent="0.35">
      <c r="A93" t="s">
        <v>12</v>
      </c>
      <c r="B93">
        <v>7223</v>
      </c>
    </row>
    <row r="94" spans="1:2" x14ac:dyDescent="0.35">
      <c r="A94" t="s">
        <v>12</v>
      </c>
      <c r="B94">
        <v>7224</v>
      </c>
    </row>
    <row r="95" spans="1:2" x14ac:dyDescent="0.35">
      <c r="A95" t="s">
        <v>12</v>
      </c>
      <c r="B95">
        <v>7225</v>
      </c>
    </row>
    <row r="96" spans="1:2" x14ac:dyDescent="0.35">
      <c r="A96" t="s">
        <v>12</v>
      </c>
      <c r="B96">
        <v>7226</v>
      </c>
    </row>
    <row r="97" spans="1:2" x14ac:dyDescent="0.35">
      <c r="A97" t="s">
        <v>12</v>
      </c>
      <c r="B97">
        <v>7227</v>
      </c>
    </row>
    <row r="98" spans="1:2" x14ac:dyDescent="0.35">
      <c r="A98" t="s">
        <v>12</v>
      </c>
      <c r="B98">
        <v>7228</v>
      </c>
    </row>
    <row r="99" spans="1:2" x14ac:dyDescent="0.35">
      <c r="A99" t="s">
        <v>12</v>
      </c>
      <c r="B99">
        <v>7229</v>
      </c>
    </row>
    <row r="100" spans="1:2" x14ac:dyDescent="0.35">
      <c r="A100" t="s">
        <v>12</v>
      </c>
      <c r="B100">
        <v>7301</v>
      </c>
    </row>
    <row r="101" spans="1:2" x14ac:dyDescent="0.35">
      <c r="A101" t="s">
        <v>12</v>
      </c>
      <c r="B101">
        <v>7404</v>
      </c>
    </row>
    <row r="102" spans="1:2" x14ac:dyDescent="0.35">
      <c r="A102" t="s">
        <v>12</v>
      </c>
      <c r="B102">
        <v>7601</v>
      </c>
    </row>
    <row r="103" spans="1:2" x14ac:dyDescent="0.35">
      <c r="A103" t="s">
        <v>12</v>
      </c>
      <c r="B103">
        <v>7602</v>
      </c>
    </row>
    <row r="104" spans="1:2" x14ac:dyDescent="0.35">
      <c r="A104" t="s">
        <v>14</v>
      </c>
      <c r="B104">
        <v>7777</v>
      </c>
    </row>
  </sheetData>
  <conditionalFormatting sqref="E8:F27 D28:F40 B2:B10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68308-A4E3-4BAD-B2B1-48E796AD2089}">
  <dimension ref="A1:M8"/>
  <sheetViews>
    <sheetView workbookViewId="0">
      <selection activeCell="J2" sqref="J2"/>
    </sheetView>
  </sheetViews>
  <sheetFormatPr defaultRowHeight="14.5" x14ac:dyDescent="0.35"/>
  <cols>
    <col min="2" max="2" width="12.6328125" bestFit="1" customWidth="1"/>
    <col min="4" max="4" width="9.36328125" bestFit="1" customWidth="1"/>
  </cols>
  <sheetData>
    <row r="1" spans="1:13" ht="72.5" x14ac:dyDescent="0.35">
      <c r="B1" t="s">
        <v>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5</v>
      </c>
      <c r="J1" s="1" t="s">
        <v>4</v>
      </c>
      <c r="K1" s="1" t="s">
        <v>6</v>
      </c>
      <c r="M1" s="1" t="s">
        <v>7</v>
      </c>
    </row>
    <row r="2" spans="1:13" ht="29" x14ac:dyDescent="0.35">
      <c r="A2" s="1" t="s">
        <v>0</v>
      </c>
      <c r="B2">
        <v>3</v>
      </c>
      <c r="D2" t="s">
        <v>9</v>
      </c>
      <c r="E2">
        <v>9</v>
      </c>
      <c r="F2">
        <v>8</v>
      </c>
      <c r="G2">
        <v>5</v>
      </c>
      <c r="H2">
        <v>3</v>
      </c>
      <c r="I2">
        <v>3</v>
      </c>
      <c r="J2">
        <v>7</v>
      </c>
      <c r="K2">
        <v>2</v>
      </c>
      <c r="M2">
        <v>14</v>
      </c>
    </row>
    <row r="3" spans="1:13" ht="43.5" x14ac:dyDescent="0.35">
      <c r="A3" s="1" t="s">
        <v>1</v>
      </c>
      <c r="B3">
        <v>5</v>
      </c>
    </row>
    <row r="4" spans="1:13" ht="43.5" x14ac:dyDescent="0.35">
      <c r="A4" s="1" t="s">
        <v>2</v>
      </c>
      <c r="B4">
        <v>3</v>
      </c>
    </row>
    <row r="5" spans="1:13" ht="72.5" x14ac:dyDescent="0.35">
      <c r="A5" s="1" t="s">
        <v>3</v>
      </c>
      <c r="B5">
        <v>4</v>
      </c>
    </row>
    <row r="6" spans="1:13" ht="58" x14ac:dyDescent="0.35">
      <c r="A6" s="1" t="s">
        <v>5</v>
      </c>
      <c r="B6">
        <v>9</v>
      </c>
    </row>
    <row r="7" spans="1:13" ht="43.5" x14ac:dyDescent="0.35">
      <c r="A7" s="1" t="s">
        <v>4</v>
      </c>
      <c r="B7">
        <v>7</v>
      </c>
    </row>
    <row r="8" spans="1:13" ht="58" x14ac:dyDescent="0.35">
      <c r="A8" s="1" t="s">
        <v>6</v>
      </c>
      <c r="B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91ED-0DA5-427D-BCEB-11B631E4253D}">
  <dimension ref="A1:H8"/>
  <sheetViews>
    <sheetView tabSelected="1" zoomScale="85" zoomScaleNormal="85" workbookViewId="0">
      <selection activeCell="K6" sqref="K6"/>
    </sheetView>
  </sheetViews>
  <sheetFormatPr defaultRowHeight="14.5" x14ac:dyDescent="0.35"/>
  <cols>
    <col min="1" max="1" width="11.26953125" customWidth="1"/>
    <col min="2" max="2" width="11.36328125" bestFit="1" customWidth="1"/>
  </cols>
  <sheetData>
    <row r="1" spans="1:8" ht="72.5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4</v>
      </c>
      <c r="H1" s="2" t="s">
        <v>6</v>
      </c>
    </row>
    <row r="2" spans="1:8" ht="29" x14ac:dyDescent="0.35">
      <c r="A2" s="1" t="s">
        <v>0</v>
      </c>
      <c r="B2" s="3">
        <f>MAX(0.5,MROUND(Sheet3!$M$2*(Sheet3!$B2/9)^1.1*(Sheet3!E$2/9)^0.9,0.5))</f>
        <v>4</v>
      </c>
      <c r="C2" s="3">
        <f>MAX(0.5,MROUND(Sheet3!$M$2*(Sheet3!$B2/9)^1.1*(Sheet3!F$2/9)^0.9,0.5))</f>
        <v>4</v>
      </c>
      <c r="D2" s="3">
        <f>MAX(0.5,MROUND(Sheet3!$M$2*(Sheet3!$B2/9)^1.1*(Sheet3!G$2/9)^0.9,0.5))</f>
        <v>2.5</v>
      </c>
      <c r="E2" s="3">
        <f>MAX(0.5,MROUND(Sheet3!$M$2*(Sheet3!$B2/9)^1.1*(Sheet3!H$2/9)^0.9,0.5))</f>
        <v>1.5</v>
      </c>
      <c r="F2" s="3">
        <f>MAX(0.5,MROUND(Sheet3!$M$2*(Sheet3!$B2/9)^1.1*(Sheet3!I$2/9)^0.9,0.5))</f>
        <v>1.5</v>
      </c>
      <c r="G2" s="3">
        <f>MAX(0.5,MROUND(Sheet3!$M$2*(Sheet3!$B2/9)^1.1*(Sheet3!J$2/9)^0.9,0.5))</f>
        <v>3.5</v>
      </c>
      <c r="H2" s="3">
        <f>MAX(0.5,MROUND(Sheet3!$M$2*(Sheet3!$B2/9)^1.1*(Sheet3!K$2/9)^0.9,0.5))</f>
        <v>1</v>
      </c>
    </row>
    <row r="3" spans="1:8" ht="29" x14ac:dyDescent="0.35">
      <c r="A3" s="1" t="s">
        <v>1</v>
      </c>
      <c r="B3" s="3">
        <f>MAX(0.5,MROUND(Sheet3!$M$2*(Sheet3!$B3/9)^1.1*(Sheet3!E$2/9)^0.9,0.5))</f>
        <v>7.5</v>
      </c>
      <c r="C3" s="3">
        <f>MAX(0.5,MROUND(Sheet3!$M$2*(Sheet3!$B3/9)^1.1*(Sheet3!F$2/9)^0.9,0.5))</f>
        <v>6.5</v>
      </c>
      <c r="D3" s="3">
        <f>MAX(0.5,MROUND(Sheet3!$M$2*(Sheet3!$B3/9)^1.1*(Sheet3!G$2/9)^0.9,0.5))</f>
        <v>4.5</v>
      </c>
      <c r="E3" s="3">
        <f>MAX(0.5,MROUND(Sheet3!$M$2*(Sheet3!$B3/9)^1.1*(Sheet3!H$2/9)^0.9,0.5))</f>
        <v>2.5</v>
      </c>
      <c r="F3" s="3">
        <f>MAX(0.5,MROUND(Sheet3!$M$2*(Sheet3!$B3/9)^1.1*(Sheet3!I$2/9)^0.9,0.5))</f>
        <v>2.5</v>
      </c>
      <c r="G3" s="3">
        <f>MAX(0.5,MROUND(Sheet3!$M$2*(Sheet3!$B3/9)^1.1*(Sheet3!J$2/9)^0.9,0.5))</f>
        <v>6</v>
      </c>
      <c r="H3" s="3">
        <f>MAX(0.5,MROUND(Sheet3!$M$2*(Sheet3!$B3/9)^1.1*(Sheet3!K$2/9)^0.9,0.5))</f>
        <v>2</v>
      </c>
    </row>
    <row r="4" spans="1:8" ht="43.5" x14ac:dyDescent="0.35">
      <c r="A4" s="1" t="s">
        <v>2</v>
      </c>
      <c r="B4" s="3">
        <f>MAX(0.5,MROUND(Sheet3!$M$2*(Sheet3!$B4/9)^1.1*(Sheet3!E$2/9)^0.9,0.5))</f>
        <v>4</v>
      </c>
      <c r="C4" s="3">
        <f>MAX(0.5,MROUND(Sheet3!$M$2*(Sheet3!$B4/9)^1.1*(Sheet3!F$2/9)^0.9,0.5))</f>
        <v>4</v>
      </c>
      <c r="D4" s="3">
        <f>MAX(0.5,MROUND(Sheet3!$M$2*(Sheet3!$B4/9)^1.1*(Sheet3!G$2/9)^0.9,0.5))</f>
        <v>2.5</v>
      </c>
      <c r="E4" s="3">
        <f>MAX(0.5,MROUND(Sheet3!$M$2*(Sheet3!$B4/9)^1.1*(Sheet3!H$2/9)^0.9,0.5))</f>
        <v>1.5</v>
      </c>
      <c r="F4" s="3">
        <f>MAX(0.5,MROUND(Sheet3!$M$2*(Sheet3!$B4/9)^1.1*(Sheet3!I$2/9)^0.9,0.5))</f>
        <v>1.5</v>
      </c>
      <c r="G4" s="3">
        <f>MAX(0.5,MROUND(Sheet3!$M$2*(Sheet3!$B4/9)^1.1*(Sheet3!J$2/9)^0.9,0.5))</f>
        <v>3.5</v>
      </c>
      <c r="H4" s="3">
        <f>MAX(0.5,MROUND(Sheet3!$M$2*(Sheet3!$B4/9)^1.1*(Sheet3!K$2/9)^0.9,0.5))</f>
        <v>1</v>
      </c>
    </row>
    <row r="5" spans="1:8" ht="43.5" x14ac:dyDescent="0.35">
      <c r="A5" s="1" t="s">
        <v>3</v>
      </c>
      <c r="B5" s="3">
        <f>MAX(0.5,MROUND(Sheet3!$M$2*(Sheet3!$B5/9)^1.1*(Sheet3!E$2/9)^0.9,0.5))</f>
        <v>5.5</v>
      </c>
      <c r="C5" s="3">
        <f>MAX(0.5,MROUND(Sheet3!$M$2*(Sheet3!$B5/9)^1.1*(Sheet3!F$2/9)^0.9,0.5))</f>
        <v>5</v>
      </c>
      <c r="D5" s="3">
        <f>MAX(0.5,MROUND(Sheet3!$M$2*(Sheet3!$B5/9)^1.1*(Sheet3!G$2/9)^0.9,0.5))</f>
        <v>3.5</v>
      </c>
      <c r="E5" s="3">
        <f>MAX(0.5,MROUND(Sheet3!$M$2*(Sheet3!$B5/9)^1.1*(Sheet3!H$2/9)^0.9,0.5))</f>
        <v>2</v>
      </c>
      <c r="F5" s="3">
        <f>MAX(0.5,MROUND(Sheet3!$M$2*(Sheet3!$B5/9)^1.1*(Sheet3!I$2/9)^0.9,0.5))</f>
        <v>2</v>
      </c>
      <c r="G5" s="3">
        <f>MAX(0.5,MROUND(Sheet3!$M$2*(Sheet3!$B5/9)^1.1*(Sheet3!J$2/9)^0.9,0.5))</f>
        <v>4.5</v>
      </c>
      <c r="H5" s="3">
        <f>MAX(0.5,MROUND(Sheet3!$M$2*(Sheet3!$B5/9)^1.1*(Sheet3!K$2/9)^0.9,0.5))</f>
        <v>1.5</v>
      </c>
    </row>
    <row r="6" spans="1:8" ht="43.5" x14ac:dyDescent="0.35">
      <c r="A6" s="1" t="s">
        <v>5</v>
      </c>
      <c r="B6" s="3">
        <v>1000</v>
      </c>
      <c r="C6" s="3">
        <v>1000</v>
      </c>
      <c r="D6" s="3">
        <f>MAX(0.5,MROUND(Sheet3!$M$2*(Sheet3!$B6/9)^1.1*(Sheet3!G$2/9)^0.9,0.5))</f>
        <v>8</v>
      </c>
      <c r="E6" s="3">
        <f>MAX(0.5,MROUND(Sheet3!$M$2*(Sheet3!$B6/9)^1.1*(Sheet3!H$2/9)^0.9,0.5))</f>
        <v>5</v>
      </c>
      <c r="F6" s="3">
        <f>MAX(0.5,MROUND(Sheet3!$M$2*(Sheet3!$B6/9)^1.1*(Sheet3!I$2/9)^0.9,0.5))</f>
        <v>5</v>
      </c>
      <c r="G6" s="3">
        <v>1000</v>
      </c>
      <c r="H6" s="3">
        <f>MAX(0.5,MROUND(Sheet3!$M$2*(Sheet3!$B6/9)^1.1*(Sheet3!K$2/9)^0.9,0.5))</f>
        <v>3.5</v>
      </c>
    </row>
    <row r="7" spans="1:8" ht="29" x14ac:dyDescent="0.35">
      <c r="A7" s="1" t="s">
        <v>4</v>
      </c>
      <c r="B7" s="3">
        <f>MAX(0.5,MROUND(Sheet3!$M$2*(Sheet3!$B7/9)^1.1*(Sheet3!E$2/9)^0.9,0.5))</f>
        <v>10.5</v>
      </c>
      <c r="C7" s="3">
        <f>MAX(0.5,MROUND(Sheet3!$M$2*(Sheet3!$B7/9)^1.1*(Sheet3!F$2/9)^0.9,0.5))</f>
        <v>9.5</v>
      </c>
      <c r="D7" s="3">
        <f>MAX(0.5,MROUND(Sheet3!$M$2*(Sheet3!$B7/9)^1.1*(Sheet3!G$2/9)^0.9,0.5))</f>
        <v>6.5</v>
      </c>
      <c r="E7" s="3">
        <f>MAX(0.5,MROUND(Sheet3!$M$2*(Sheet3!$B7/9)^1.1*(Sheet3!H$2/9)^0.9,0.5))</f>
        <v>4</v>
      </c>
      <c r="F7" s="3">
        <f>MAX(0.5,MROUND(Sheet3!$M$2*(Sheet3!$B7/9)^1.1*(Sheet3!I$2/9)^0.9,0.5))</f>
        <v>4</v>
      </c>
      <c r="G7" s="3">
        <f>MAX(0.5,MROUND(Sheet3!$M$2*(Sheet3!$B7/9)^1.1*(Sheet3!J$2/9)^0.9,0.5))</f>
        <v>8.5</v>
      </c>
      <c r="H7" s="3">
        <f>MAX(0.5,MROUND(Sheet3!$M$2*(Sheet3!$B7/9)^1.1*(Sheet3!K$2/9)^0.9,0.5))</f>
        <v>2.5</v>
      </c>
    </row>
    <row r="8" spans="1:8" ht="43.5" x14ac:dyDescent="0.35">
      <c r="A8" s="1" t="s">
        <v>6</v>
      </c>
      <c r="B8" s="3">
        <f>MAX(0.5,MROUND(Sheet3!$M$2*(Sheet3!$B8/9)^1.1*(Sheet3!E$2/9)^0.9,0.5))</f>
        <v>2.5</v>
      </c>
      <c r="C8" s="3">
        <f>MAX(0.5,MROUND(Sheet3!$M$2*(Sheet3!$B8/9)^1.1*(Sheet3!F$2/9)^0.9,0.5))</f>
        <v>2.5</v>
      </c>
      <c r="D8" s="3">
        <f>MAX(0.5,MROUND(Sheet3!$M$2*(Sheet3!$B8/9)^1.1*(Sheet3!G$2/9)^0.9,0.5))</f>
        <v>1.5</v>
      </c>
      <c r="E8" s="3">
        <f>MAX(0.5,MROUND(Sheet3!$M$2*(Sheet3!$B8/9)^1.1*(Sheet3!H$2/9)^0.9,0.5))</f>
        <v>1</v>
      </c>
      <c r="F8" s="3">
        <f>MAX(0.5,MROUND(Sheet3!$M$2*(Sheet3!$B8/9)^1.1*(Sheet3!I$2/9)^0.9,0.5))</f>
        <v>1</v>
      </c>
      <c r="G8" s="3">
        <f>MAX(0.5,MROUND(Sheet3!$M$2*(Sheet3!$B8/9)^1.1*(Sheet3!J$2/9)^0.9,0.5))</f>
        <v>2</v>
      </c>
      <c r="H8" s="3">
        <f>MAX(0.5,MROUND(Sheet3!$M$2*(Sheet3!$B8/9)^1.1*(Sheet3!K$2/9)^0.9,0.5))</f>
        <v>0.5</v>
      </c>
    </row>
  </sheetData>
  <conditionalFormatting sqref="B2:H5 B7:H8 D6:F6 H6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cmds</vt:lpstr>
      <vt:lpstr>cmdList</vt:lpstr>
      <vt:lpstr>Sheet3</vt:lpstr>
      <vt:lpstr>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Kristian Ødegaard</dc:creator>
  <cp:lastModifiedBy>Jan Kristian Ødegaard</cp:lastModifiedBy>
  <dcterms:created xsi:type="dcterms:W3CDTF">2026-03-16T11:39:47Z</dcterms:created>
  <dcterms:modified xsi:type="dcterms:W3CDTF">2026-05-21T14:35:25Z</dcterms:modified>
</cp:coreProperties>
</file>